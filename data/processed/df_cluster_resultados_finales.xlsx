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ba-30m\GRP\IT\Shared\XFCR03\06_Datos_torta_anidada\"/>
    </mc:Choice>
  </mc:AlternateContent>
  <xr:revisionPtr revIDLastSave="0" documentId="13_ncr:1_{F03B6E25-7783-44C5-AF7B-E7B7DF7022F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Sheet1!$A$1:$J$55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6" i="1"/>
  <c r="J7" i="1"/>
  <c r="J9" i="1"/>
  <c r="J8" i="1"/>
  <c r="J5" i="1"/>
  <c r="J2" i="1"/>
  <c r="I3" i="1"/>
  <c r="I4" i="1"/>
  <c r="I6" i="1"/>
  <c r="I7" i="1"/>
  <c r="I9" i="1"/>
  <c r="I8" i="1"/>
  <c r="I5" i="1"/>
  <c r="I2" i="1"/>
  <c r="J48" i="1"/>
  <c r="J52" i="1"/>
  <c r="J50" i="1"/>
  <c r="J51" i="1"/>
  <c r="J55" i="1"/>
  <c r="J47" i="1"/>
  <c r="J54" i="1"/>
  <c r="J45" i="1"/>
  <c r="J46" i="1"/>
  <c r="J49" i="1"/>
  <c r="J26" i="1"/>
  <c r="J39" i="1"/>
  <c r="J37" i="1"/>
  <c r="J22" i="1"/>
  <c r="J31" i="1"/>
  <c r="J29" i="1"/>
  <c r="J30" i="1"/>
  <c r="J24" i="1"/>
  <c r="J21" i="1"/>
  <c r="J14" i="1"/>
  <c r="J41" i="1"/>
  <c r="J28" i="1"/>
  <c r="J17" i="1"/>
  <c r="J10" i="1"/>
  <c r="J33" i="1"/>
  <c r="J32" i="1"/>
  <c r="J35" i="1"/>
  <c r="J44" i="1"/>
  <c r="J19" i="1"/>
  <c r="J42" i="1"/>
  <c r="J43" i="1"/>
  <c r="J23" i="1"/>
  <c r="J20" i="1"/>
  <c r="J15" i="1"/>
  <c r="J18" i="1"/>
  <c r="J38" i="1"/>
  <c r="J11" i="1"/>
  <c r="J13" i="1"/>
  <c r="J27" i="1"/>
  <c r="J16" i="1"/>
  <c r="J12" i="1"/>
  <c r="J40" i="1"/>
  <c r="J36" i="1"/>
  <c r="J34" i="1"/>
  <c r="J53" i="1"/>
  <c r="I48" i="1"/>
  <c r="I52" i="1"/>
  <c r="I50" i="1"/>
  <c r="I51" i="1"/>
  <c r="I55" i="1"/>
  <c r="I47" i="1"/>
  <c r="I54" i="1"/>
  <c r="I45" i="1"/>
  <c r="I46" i="1"/>
  <c r="I49" i="1"/>
  <c r="I26" i="1"/>
  <c r="I39" i="1"/>
  <c r="I37" i="1"/>
  <c r="I22" i="1"/>
  <c r="I31" i="1"/>
  <c r="I29" i="1"/>
  <c r="I30" i="1"/>
  <c r="I24" i="1"/>
  <c r="I21" i="1"/>
  <c r="I14" i="1"/>
  <c r="I41" i="1"/>
  <c r="I28" i="1"/>
  <c r="I17" i="1"/>
  <c r="I10" i="1"/>
  <c r="I33" i="1"/>
  <c r="I32" i="1"/>
  <c r="I35" i="1"/>
  <c r="I44" i="1"/>
  <c r="I19" i="1"/>
  <c r="I42" i="1"/>
  <c r="I43" i="1"/>
  <c r="I23" i="1"/>
  <c r="I20" i="1"/>
  <c r="I15" i="1"/>
  <c r="I18" i="1"/>
  <c r="I38" i="1"/>
  <c r="I11" i="1"/>
  <c r="I13" i="1"/>
  <c r="I27" i="1"/>
  <c r="I16" i="1"/>
  <c r="I12" i="1"/>
  <c r="I40" i="1"/>
  <c r="I36" i="1"/>
  <c r="I34" i="1"/>
  <c r="I53" i="1"/>
</calcChain>
</file>

<file path=xl/sharedStrings.xml><?xml version="1.0" encoding="utf-8"?>
<sst xmlns="http://schemas.openxmlformats.org/spreadsheetml/2006/main" count="348" uniqueCount="75">
  <si>
    <t>PBL</t>
  </si>
  <si>
    <t>PBL Name</t>
  </si>
  <si>
    <t>Cluster_metodo1</t>
  </si>
  <si>
    <t>Cluster_metodo2</t>
  </si>
  <si>
    <t>Cluster_metodo3</t>
  </si>
  <si>
    <t>Cluster_metodo4</t>
  </si>
  <si>
    <t>Cluster_metodo5</t>
  </si>
  <si>
    <t>Cluster_combinado</t>
  </si>
  <si>
    <t>ALBERDI</t>
  </si>
  <si>
    <t>1</t>
  </si>
  <si>
    <t>ALSINA</t>
  </si>
  <si>
    <t>2</t>
  </si>
  <si>
    <t>CABILDO</t>
  </si>
  <si>
    <t>EMILIO CASTRO</t>
  </si>
  <si>
    <t>LAS HERAS</t>
  </si>
  <si>
    <t>LOS INCAS</t>
  </si>
  <si>
    <t>MASCHWITZ</t>
  </si>
  <si>
    <t>MITRE</t>
  </si>
  <si>
    <t>ROSARIO SUR</t>
  </si>
  <si>
    <t>SANTA FE</t>
  </si>
  <si>
    <t>TRELLES</t>
  </si>
  <si>
    <t>ALVEAR</t>
  </si>
  <si>
    <t>AMANECER</t>
  </si>
  <si>
    <t>AMERICA</t>
  </si>
  <si>
    <t>ANCHORENA</t>
  </si>
  <si>
    <t>3</t>
  </si>
  <si>
    <t>BULNES</t>
  </si>
  <si>
    <t>CENTENERA</t>
  </si>
  <si>
    <t>CONGRESO</t>
  </si>
  <si>
    <t>DEL TEJAR</t>
  </si>
  <si>
    <t>DIALOGOS</t>
  </si>
  <si>
    <t>4</t>
  </si>
  <si>
    <t>EL ARCO</t>
  </si>
  <si>
    <t>EL CLUB</t>
  </si>
  <si>
    <t>FISHERTON</t>
  </si>
  <si>
    <t>FLORENCIO VARELA</t>
  </si>
  <si>
    <t>FLORESTA</t>
  </si>
  <si>
    <t>GARAY</t>
  </si>
  <si>
    <t>GUTIERREZ</t>
  </si>
  <si>
    <t>LA BANDERA</t>
  </si>
  <si>
    <t>LA CARMELA</t>
  </si>
  <si>
    <t>LAFERRERE</t>
  </si>
  <si>
    <t>LUIS VIALE</t>
  </si>
  <si>
    <t>MAIPU</t>
  </si>
  <si>
    <t>OLIVOS</t>
  </si>
  <si>
    <t>OVIDIO LAGOS</t>
  </si>
  <si>
    <t>PARQUE SARMIENTO</t>
  </si>
  <si>
    <t>PILAR</t>
  </si>
  <si>
    <t>QUILMES</t>
  </si>
  <si>
    <t>RIVADAVIA</t>
  </si>
  <si>
    <t>SAN ISIDRO</t>
  </si>
  <si>
    <t>SANTA RITA</t>
  </si>
  <si>
    <t>VILLA ALLENDE</t>
  </si>
  <si>
    <t>VILLA LURO</t>
  </si>
  <si>
    <t>ZARATE</t>
  </si>
  <si>
    <t>Porcentaje Trx chicas</t>
  </si>
  <si>
    <t>Cant_trx</t>
  </si>
  <si>
    <t>ZARATE Brazo Largo</t>
  </si>
  <si>
    <t>ARROYO SECO</t>
  </si>
  <si>
    <t>LIMA</t>
  </si>
  <si>
    <t>BUEN AYRE</t>
  </si>
  <si>
    <t>C1</t>
  </si>
  <si>
    <t>C2</t>
  </si>
  <si>
    <t>C3</t>
  </si>
  <si>
    <t>C4</t>
  </si>
  <si>
    <t>C5</t>
  </si>
  <si>
    <t>C6</t>
  </si>
  <si>
    <t>C7</t>
  </si>
  <si>
    <t>AUBASA BA-LP</t>
  </si>
  <si>
    <t>AUBASA LP-BA</t>
  </si>
  <si>
    <t>GRAL PAZ CAPITAL</t>
  </si>
  <si>
    <t>GRAL PAZ PROVINCIA</t>
  </si>
  <si>
    <t>BONPLAND</t>
  </si>
  <si>
    <t>BOULEVARD</t>
  </si>
  <si>
    <t>CORS ALEM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</si>
</sst>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9" fontId="0" fillId="0" borderId="0" xfId="1" applyFont="1"/>
    <xf numFmtId="0" fontId="0" fillId="2" borderId="0" xfId="0" applyFill="1"/>
    <xf numFmtId="9" fontId="0" fillId="2" borderId="0" xfId="1" applyFont="1" applyFill="1"/>
    <xf numFmtId="0" fontId="0" fillId="3" borderId="0" xfId="0" applyFill="1"/>
    <xf numFmtId="9" fontId="0" fillId="3" borderId="0" xfId="1" applyFont="1" applyFill="1"/>
  </cellXfs>
  <cellStyles count="2">
    <cellStyle name="Normal" xfId="0" builtinId="0"/>
    <cellStyle name="Porcentaj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T/Shared/XKNR01/28_DW_sites/Cluster_bocas/trx_promedio_mes_abiert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150070</v>
          </cell>
          <cell r="B2" t="str">
            <v>COMERCIAL RANQUELES</v>
          </cell>
          <cell r="C2">
            <v>2662.3846153846148</v>
          </cell>
          <cell r="D2">
            <v>7224.6153846153848</v>
          </cell>
        </row>
        <row r="3">
          <cell r="A3">
            <v>150073</v>
          </cell>
          <cell r="B3" t="str">
            <v>NTI 2019 - AGROPETROLERA CHAJARI</v>
          </cell>
          <cell r="C3">
            <v>1928.333333333333</v>
          </cell>
          <cell r="D3">
            <v>13281.66666666667</v>
          </cell>
        </row>
        <row r="4">
          <cell r="A4">
            <v>150074</v>
          </cell>
          <cell r="B4" t="str">
            <v>AGROPETROLERA CHAJARI SRL</v>
          </cell>
          <cell r="C4">
            <v>5287.4615384615381</v>
          </cell>
          <cell r="D4">
            <v>14818.846153846151</v>
          </cell>
        </row>
        <row r="5">
          <cell r="A5">
            <v>150075</v>
          </cell>
          <cell r="B5" t="str">
            <v>AGROPETROLERA CHAJARI S.R.L. (RUTA)</v>
          </cell>
          <cell r="C5">
            <v>192.84615384615381</v>
          </cell>
          <cell r="D5">
            <v>7418.8461538461543</v>
          </cell>
        </row>
        <row r="6">
          <cell r="A6">
            <v>150082</v>
          </cell>
          <cell r="B6" t="str">
            <v>ALABERT MARIA ANTONIA</v>
          </cell>
          <cell r="C6">
            <v>8336.0769230769238</v>
          </cell>
          <cell r="D6">
            <v>19902.538461538461</v>
          </cell>
        </row>
        <row r="7">
          <cell r="A7">
            <v>150087</v>
          </cell>
          <cell r="B7" t="str">
            <v>AGROENERGIA S.A.</v>
          </cell>
          <cell r="C7">
            <v>8996.2307692307695</v>
          </cell>
          <cell r="D7">
            <v>21414.461538461539</v>
          </cell>
        </row>
        <row r="8">
          <cell r="A8">
            <v>150090</v>
          </cell>
          <cell r="B8" t="str">
            <v>ALGAR S.R.L. - SAN MIGUEL</v>
          </cell>
          <cell r="C8">
            <v>2020.6923076923081</v>
          </cell>
          <cell r="D8">
            <v>7842.3076923076924</v>
          </cell>
        </row>
        <row r="9">
          <cell r="A9">
            <v>150093</v>
          </cell>
          <cell r="B9" t="str">
            <v>ALLI VAMOS (TORTUGUITAS)</v>
          </cell>
          <cell r="C9">
            <v>6024.5384615384619</v>
          </cell>
          <cell r="D9">
            <v>19317.615384615379</v>
          </cell>
        </row>
        <row r="10">
          <cell r="A10">
            <v>150107</v>
          </cell>
          <cell r="B10" t="str">
            <v>MORON CENTER</v>
          </cell>
          <cell r="C10">
            <v>3900.8461538461538</v>
          </cell>
          <cell r="D10">
            <v>9460.3846153846152</v>
          </cell>
        </row>
        <row r="11">
          <cell r="A11">
            <v>150110</v>
          </cell>
          <cell r="B11" t="str">
            <v>FGC Fuels Marketing SA</v>
          </cell>
          <cell r="C11">
            <v>2417.538461538461</v>
          </cell>
          <cell r="D11">
            <v>16080.69230769231</v>
          </cell>
        </row>
        <row r="12">
          <cell r="A12">
            <v>150118</v>
          </cell>
          <cell r="B12" t="str">
            <v>AMULEM S.A.</v>
          </cell>
          <cell r="C12">
            <v>148.2307692307692</v>
          </cell>
          <cell r="D12">
            <v>3022.538461538461</v>
          </cell>
        </row>
        <row r="13">
          <cell r="A13">
            <v>150122</v>
          </cell>
          <cell r="B13" t="str">
            <v>NORBERTO JORGE ANCONETANI - TUCUMAN</v>
          </cell>
          <cell r="C13">
            <v>4022.3846153846148</v>
          </cell>
          <cell r="D13">
            <v>12965.846153846151</v>
          </cell>
        </row>
        <row r="14">
          <cell r="A14">
            <v>150124</v>
          </cell>
          <cell r="B14" t="str">
            <v>ANDRICH E HIJOS SC</v>
          </cell>
          <cell r="C14">
            <v>9214.8461538461543</v>
          </cell>
          <cell r="D14">
            <v>10759.61538461539</v>
          </cell>
        </row>
        <row r="15">
          <cell r="A15">
            <v>150131</v>
          </cell>
          <cell r="B15" t="str">
            <v>ANTENUCHI</v>
          </cell>
          <cell r="C15">
            <v>3245.3076923076919</v>
          </cell>
          <cell r="D15">
            <v>11900.846153846151</v>
          </cell>
        </row>
        <row r="16">
          <cell r="A16">
            <v>150142</v>
          </cell>
          <cell r="B16" t="str">
            <v>COMERCIAL ARGON</v>
          </cell>
          <cell r="C16">
            <v>2629.8461538461538</v>
          </cell>
          <cell r="D16">
            <v>12867.153846153849</v>
          </cell>
        </row>
        <row r="17">
          <cell r="A17">
            <v>150153</v>
          </cell>
          <cell r="B17" t="str">
            <v>ARRATE JOSE LUIS</v>
          </cell>
          <cell r="C17">
            <v>4686.2857142857147</v>
          </cell>
          <cell r="D17">
            <v>3569.428571428572</v>
          </cell>
        </row>
        <row r="18">
          <cell r="A18">
            <v>150156</v>
          </cell>
          <cell r="B18" t="str">
            <v>ARROYITO SERVICIOS S.A.</v>
          </cell>
          <cell r="C18">
            <v>3355.6923076923081</v>
          </cell>
          <cell r="D18">
            <v>14843.92307692308</v>
          </cell>
        </row>
        <row r="19">
          <cell r="A19">
            <v>150158</v>
          </cell>
          <cell r="B19" t="str">
            <v>RAUL ENRIQUE ARUANO Y ENRIQUE</v>
          </cell>
          <cell r="C19">
            <v>783.88888888888891</v>
          </cell>
          <cell r="D19">
            <v>5888.333333333333</v>
          </cell>
        </row>
        <row r="20">
          <cell r="A20">
            <v>150159</v>
          </cell>
          <cell r="B20" t="str">
            <v>ARUANO RAUL ENRIQUE Y ENRIQUE - PAINEM</v>
          </cell>
          <cell r="C20">
            <v>2485.3076923076919</v>
          </cell>
          <cell r="D20">
            <v>13754.30769230769</v>
          </cell>
        </row>
        <row r="21">
          <cell r="A21">
            <v>150172</v>
          </cell>
          <cell r="B21" t="str">
            <v>ATALAYA S.R.L.</v>
          </cell>
          <cell r="C21">
            <v>2118.3846153846148</v>
          </cell>
          <cell r="D21">
            <v>9383.3076923076915</v>
          </cell>
        </row>
        <row r="22">
          <cell r="A22">
            <v>150176</v>
          </cell>
          <cell r="B22" t="str">
            <v>ATREUCO PUEL SA</v>
          </cell>
          <cell r="C22">
            <v>1114.583333333333</v>
          </cell>
          <cell r="D22">
            <v>10800.25</v>
          </cell>
        </row>
        <row r="23">
          <cell r="A23">
            <v>150187</v>
          </cell>
          <cell r="B23" t="str">
            <v>BAIGAS SRL</v>
          </cell>
          <cell r="C23">
            <v>15175.23076923077</v>
          </cell>
          <cell r="D23">
            <v>29981.23076923077</v>
          </cell>
        </row>
        <row r="24">
          <cell r="A24">
            <v>150196</v>
          </cell>
          <cell r="B24" t="str">
            <v>CORS LOS INCAS</v>
          </cell>
          <cell r="C24">
            <v>2134.6153846153852</v>
          </cell>
          <cell r="D24">
            <v>15376.846153846151</v>
          </cell>
        </row>
        <row r="25">
          <cell r="A25">
            <v>150197</v>
          </cell>
          <cell r="B25" t="str">
            <v>OSCAR EMILIO BARRAZA SRL</v>
          </cell>
          <cell r="C25">
            <v>2005.2307692307691</v>
          </cell>
          <cell r="D25">
            <v>8841.6923076923085</v>
          </cell>
        </row>
        <row r="26">
          <cell r="A26">
            <v>150199</v>
          </cell>
          <cell r="B26" t="str">
            <v>BASAVILBASO SRL</v>
          </cell>
          <cell r="C26">
            <v>775</v>
          </cell>
          <cell r="D26">
            <v>4749.5</v>
          </cell>
        </row>
        <row r="27">
          <cell r="A27">
            <v>150211</v>
          </cell>
          <cell r="B27" t="str">
            <v>BIFUEL S.R.L.</v>
          </cell>
          <cell r="C27">
            <v>2897.8461538461538</v>
          </cell>
          <cell r="D27">
            <v>10717.69230769231</v>
          </cell>
        </row>
        <row r="28">
          <cell r="A28">
            <v>150213</v>
          </cell>
          <cell r="B28" t="str">
            <v>LA ESTRELLA</v>
          </cell>
          <cell r="C28">
            <v>9190.3846153846152</v>
          </cell>
          <cell r="D28">
            <v>17214.23076923077</v>
          </cell>
        </row>
        <row r="29">
          <cell r="A29">
            <v>150214</v>
          </cell>
          <cell r="B29" t="str">
            <v>RUTA 3  - BELZA</v>
          </cell>
          <cell r="C29">
            <v>9315.0769230769238</v>
          </cell>
          <cell r="D29">
            <v>12759.69230769231</v>
          </cell>
        </row>
        <row r="30">
          <cell r="A30">
            <v>150217</v>
          </cell>
          <cell r="B30" t="str">
            <v>SERVICENTRO EL BEBE SRL</v>
          </cell>
          <cell r="C30">
            <v>258.61538461538458</v>
          </cell>
          <cell r="D30">
            <v>6859.3076923076924</v>
          </cell>
        </row>
        <row r="31">
          <cell r="A31">
            <v>150220</v>
          </cell>
          <cell r="B31" t="str">
            <v>BERSAV S.R.L.</v>
          </cell>
          <cell r="C31">
            <v>6096.9230769230771</v>
          </cell>
          <cell r="D31">
            <v>7619.9230769230771</v>
          </cell>
        </row>
        <row r="32">
          <cell r="A32">
            <v>150226</v>
          </cell>
          <cell r="B32" t="str">
            <v>MARTA BERTOLA</v>
          </cell>
          <cell r="C32">
            <v>342.38461538461542</v>
          </cell>
          <cell r="D32">
            <v>10814.461538461541</v>
          </cell>
        </row>
        <row r="33">
          <cell r="A33">
            <v>150227</v>
          </cell>
          <cell r="B33" t="str">
            <v>CHAVARINI JOSE LUIS - SAN CARLOS SUD</v>
          </cell>
          <cell r="C33">
            <v>2221.0769230769229</v>
          </cell>
          <cell r="D33">
            <v>6563.4615384615381</v>
          </cell>
        </row>
        <row r="34">
          <cell r="A34">
            <v>150238</v>
          </cell>
          <cell r="B34" t="str">
            <v>ESTACION BRUSA</v>
          </cell>
          <cell r="C34">
            <v>3816.6153846153852</v>
          </cell>
          <cell r="D34">
            <v>8975.2307692307695</v>
          </cell>
        </row>
        <row r="35">
          <cell r="A35">
            <v>150239</v>
          </cell>
          <cell r="B35" t="str">
            <v>AMADO FELIPE BOLATTI</v>
          </cell>
          <cell r="C35">
            <v>1813.7692307692309</v>
          </cell>
          <cell r="D35">
            <v>4567.6153846153848</v>
          </cell>
        </row>
        <row r="36">
          <cell r="A36">
            <v>150253</v>
          </cell>
          <cell r="B36" t="str">
            <v>BORETTO, ALCIDES BARTOLOME JOAQUIN</v>
          </cell>
          <cell r="C36">
            <v>2455.3846153846148</v>
          </cell>
          <cell r="D36">
            <v>6582.3846153846152</v>
          </cell>
        </row>
        <row r="37">
          <cell r="A37">
            <v>150256</v>
          </cell>
          <cell r="B37" t="str">
            <v>SERVICENTRO PORTEÑA - BORTOLON Y URQUIZA COMBUSTIBLES S.R.L.</v>
          </cell>
          <cell r="C37">
            <v>2368.6153846153852</v>
          </cell>
          <cell r="D37">
            <v>4433.7692307692314</v>
          </cell>
        </row>
        <row r="38">
          <cell r="A38">
            <v>150260</v>
          </cell>
          <cell r="B38" t="str">
            <v>CRESPO SERVICIOS S.R.L.</v>
          </cell>
          <cell r="C38">
            <v>2050.461538461539</v>
          </cell>
          <cell r="D38">
            <v>8513.0769230769238</v>
          </cell>
        </row>
        <row r="39">
          <cell r="A39">
            <v>150262</v>
          </cell>
          <cell r="B39" t="str">
            <v>UNICOMB S.R.L</v>
          </cell>
          <cell r="C39">
            <v>1600.846153846154</v>
          </cell>
          <cell r="D39">
            <v>9363.2307692307695</v>
          </cell>
        </row>
        <row r="40">
          <cell r="A40">
            <v>150266</v>
          </cell>
          <cell r="B40" t="str">
            <v>CORS MASCHWITZ</v>
          </cell>
          <cell r="C40">
            <v>6043.6153846153848</v>
          </cell>
          <cell r="D40">
            <v>32426.076923076918</v>
          </cell>
        </row>
        <row r="41">
          <cell r="A41">
            <v>150275</v>
          </cell>
          <cell r="B41" t="str">
            <v>GASPAR BRANDEMANN S.R.L.</v>
          </cell>
          <cell r="C41">
            <v>2055.2307692307691</v>
          </cell>
          <cell r="D41">
            <v>6560.3076923076924</v>
          </cell>
        </row>
        <row r="42">
          <cell r="A42">
            <v>150280</v>
          </cell>
          <cell r="B42" t="str">
            <v>SAN MARTIN - DARIO BERNARDO ALVAREZ</v>
          </cell>
          <cell r="C42">
            <v>1279.3846153846159</v>
          </cell>
          <cell r="D42">
            <v>8292.538461538461</v>
          </cell>
        </row>
        <row r="43">
          <cell r="A43">
            <v>150292</v>
          </cell>
          <cell r="B43" t="str">
            <v>SERVICENTRO MALARGUE SA</v>
          </cell>
          <cell r="C43">
            <v>1375.9230769230769</v>
          </cell>
          <cell r="D43">
            <v>18238.307692307691</v>
          </cell>
        </row>
        <row r="44">
          <cell r="A44">
            <v>150316</v>
          </cell>
          <cell r="B44" t="str">
            <v>RAUL GREGORIO CABODEVILA</v>
          </cell>
          <cell r="C44">
            <v>439.5384615384616</v>
          </cell>
          <cell r="D44">
            <v>5275.3076923076924</v>
          </cell>
        </row>
        <row r="45">
          <cell r="A45">
            <v>150338</v>
          </cell>
          <cell r="B45" t="str">
            <v>CARNICER MICHAEL DANIEL -ROCA</v>
          </cell>
          <cell r="C45">
            <v>10753.23076923077</v>
          </cell>
          <cell r="D45">
            <v>25510.615384615379</v>
          </cell>
        </row>
        <row r="46">
          <cell r="A46">
            <v>150341</v>
          </cell>
          <cell r="B46" t="str">
            <v>CARNICER MICHAEL DANIEL</v>
          </cell>
          <cell r="C46">
            <v>8166.0769230769229</v>
          </cell>
          <cell r="D46">
            <v>10433.61538461539</v>
          </cell>
        </row>
        <row r="47">
          <cell r="A47">
            <v>150381</v>
          </cell>
          <cell r="B47" t="str">
            <v>RUBEN JOSE RAMON CARIONI</v>
          </cell>
          <cell r="C47">
            <v>5622.3076923076924</v>
          </cell>
          <cell r="D47">
            <v>9891.538461538461</v>
          </cell>
        </row>
        <row r="48">
          <cell r="A48">
            <v>150382</v>
          </cell>
          <cell r="B48" t="str">
            <v>CARLOS NESTOR FABIAN PEHUAJO</v>
          </cell>
          <cell r="C48">
            <v>7982.5384615384619</v>
          </cell>
          <cell r="D48">
            <v>5364.8461538461543</v>
          </cell>
        </row>
        <row r="49">
          <cell r="A49">
            <v>150392</v>
          </cell>
          <cell r="B49" t="str">
            <v>JOMALI S.R.L.</v>
          </cell>
          <cell r="C49">
            <v>8594.6923076923085</v>
          </cell>
          <cell r="D49">
            <v>14180.23076923077</v>
          </cell>
        </row>
        <row r="50">
          <cell r="A50">
            <v>150394</v>
          </cell>
          <cell r="B50" t="str">
            <v>ABEL LUIS CASALE Y LUIS IVAN CASALE</v>
          </cell>
          <cell r="C50">
            <v>159.69230769230771</v>
          </cell>
          <cell r="D50">
            <v>2360.9230769230771</v>
          </cell>
        </row>
        <row r="51">
          <cell r="A51">
            <v>150402</v>
          </cell>
          <cell r="B51" t="str">
            <v>CATAMARCA COMBUSTIBLES S.R.L</v>
          </cell>
          <cell r="C51">
            <v>16505.307692307691</v>
          </cell>
          <cell r="D51">
            <v>18394.615384615379</v>
          </cell>
        </row>
        <row r="52">
          <cell r="A52">
            <v>150406</v>
          </cell>
          <cell r="B52" t="str">
            <v>CEFARELLI ROBERTO ADRIAN - SS LUCERO -</v>
          </cell>
          <cell r="C52">
            <v>8970.3846153846152</v>
          </cell>
          <cell r="D52">
            <v>9331.9230769230762</v>
          </cell>
        </row>
        <row r="53">
          <cell r="A53">
            <v>150419</v>
          </cell>
          <cell r="B53" t="str">
            <v>SANCHEZ HUERTA</v>
          </cell>
          <cell r="C53">
            <v>15556.846153846151</v>
          </cell>
          <cell r="D53">
            <v>14575.153846153849</v>
          </cell>
        </row>
        <row r="54">
          <cell r="A54">
            <v>150430</v>
          </cell>
          <cell r="B54" t="str">
            <v>JOSE LUIS CHAVARINI</v>
          </cell>
          <cell r="C54">
            <v>3188.0833333333339</v>
          </cell>
          <cell r="D54">
            <v>6536.25</v>
          </cell>
        </row>
        <row r="55">
          <cell r="A55">
            <v>150434</v>
          </cell>
          <cell r="B55" t="str">
            <v>CIFAMA S.R.L.</v>
          </cell>
          <cell r="C55">
            <v>4172.1538461538457</v>
          </cell>
          <cell r="D55">
            <v>13720.92307692308</v>
          </cell>
        </row>
        <row r="56">
          <cell r="A56">
            <v>150438</v>
          </cell>
          <cell r="B56" t="str">
            <v>CIUDAD EZEIZA</v>
          </cell>
          <cell r="C56">
            <v>6681.6153846153848</v>
          </cell>
          <cell r="D56">
            <v>15454.92307692308</v>
          </cell>
        </row>
        <row r="57">
          <cell r="A57">
            <v>150439</v>
          </cell>
          <cell r="B57" t="str">
            <v>SEBASTIAN ALDO CLAVERO</v>
          </cell>
          <cell r="C57">
            <v>224.84615384615381</v>
          </cell>
          <cell r="D57">
            <v>827.15384615384619</v>
          </cell>
        </row>
        <row r="58">
          <cell r="A58">
            <v>150449</v>
          </cell>
          <cell r="B58" t="str">
            <v>COLLIARD Y CIA.</v>
          </cell>
          <cell r="C58">
            <v>14772.384615384621</v>
          </cell>
          <cell r="D58">
            <v>12740.23076923077</v>
          </cell>
        </row>
        <row r="59">
          <cell r="A59">
            <v>150459</v>
          </cell>
          <cell r="B59" t="str">
            <v>ROBERTS COMBUSTIBLES S.A.</v>
          </cell>
          <cell r="C59">
            <v>8513.0769230769238</v>
          </cell>
          <cell r="D59">
            <v>9093.538461538461</v>
          </cell>
        </row>
        <row r="60">
          <cell r="A60">
            <v>150462</v>
          </cell>
          <cell r="B60" t="str">
            <v>COMBYLU S.A.</v>
          </cell>
          <cell r="C60">
            <v>2738.1538461538462</v>
          </cell>
          <cell r="D60">
            <v>9568.7692307692305</v>
          </cell>
        </row>
        <row r="61">
          <cell r="A61">
            <v>150463</v>
          </cell>
          <cell r="B61" t="str">
            <v>COMBUSTIBLES VILLA MARIA S.A. - CORRIENTES</v>
          </cell>
          <cell r="C61">
            <v>19406.384615384621</v>
          </cell>
          <cell r="D61">
            <v>11908</v>
          </cell>
        </row>
        <row r="62">
          <cell r="A62">
            <v>150482</v>
          </cell>
          <cell r="B62" t="str">
            <v>DEL PILAR - COMPIL</v>
          </cell>
          <cell r="C62">
            <v>3606.3846153846148</v>
          </cell>
          <cell r="D62">
            <v>15143.76923076923</v>
          </cell>
        </row>
        <row r="63">
          <cell r="A63">
            <v>150486</v>
          </cell>
          <cell r="B63" t="str">
            <v>SUC. CLAVERO</v>
          </cell>
          <cell r="C63">
            <v>5232.9230769230771</v>
          </cell>
          <cell r="D63">
            <v>11366.384615384621</v>
          </cell>
        </row>
        <row r="64">
          <cell r="A64">
            <v>150529</v>
          </cell>
          <cell r="B64" t="str">
            <v>COOPERATIVA AGROPECUARIA FAMAILLA</v>
          </cell>
          <cell r="C64">
            <v>37182.230769230773</v>
          </cell>
          <cell r="D64">
            <v>6419</v>
          </cell>
        </row>
        <row r="65">
          <cell r="A65">
            <v>150531</v>
          </cell>
          <cell r="B65" t="str">
            <v>COOPERATIVA DEFENSA DE AGRICULTORES (CHACABUCO)</v>
          </cell>
          <cell r="C65">
            <v>10037.461538461541</v>
          </cell>
          <cell r="D65">
            <v>14922.61538461539</v>
          </cell>
        </row>
        <row r="66">
          <cell r="A66">
            <v>150560</v>
          </cell>
          <cell r="B66" t="str">
            <v>CRE-AN SA</v>
          </cell>
          <cell r="C66">
            <v>5747.416666666667</v>
          </cell>
          <cell r="D66">
            <v>10417</v>
          </cell>
        </row>
        <row r="67">
          <cell r="A67">
            <v>150563</v>
          </cell>
          <cell r="B67" t="str">
            <v>CRISMI COMBUSTIBLES S.R.L</v>
          </cell>
          <cell r="C67">
            <v>12486.30769230769</v>
          </cell>
          <cell r="D67">
            <v>17236.76923076923</v>
          </cell>
        </row>
        <row r="68">
          <cell r="A68">
            <v>150565</v>
          </cell>
          <cell r="B68" t="str">
            <v>CRISORIO ELIO Y BAEZA</v>
          </cell>
          <cell r="C68">
            <v>1860.3846153846159</v>
          </cell>
          <cell r="D68">
            <v>11881.538461538459</v>
          </cell>
        </row>
        <row r="69">
          <cell r="A69">
            <v>150577</v>
          </cell>
          <cell r="B69" t="str">
            <v>CRUCESITA SA</v>
          </cell>
          <cell r="C69">
            <v>4438.125</v>
          </cell>
          <cell r="D69">
            <v>15999.625</v>
          </cell>
        </row>
        <row r="70">
          <cell r="A70">
            <v>150578</v>
          </cell>
          <cell r="B70" t="str">
            <v>AFLOVAC S.A.</v>
          </cell>
          <cell r="C70">
            <v>1165.3846153846159</v>
          </cell>
          <cell r="D70">
            <v>4362.2307692307704</v>
          </cell>
        </row>
        <row r="71">
          <cell r="A71">
            <v>150584</v>
          </cell>
          <cell r="B71" t="str">
            <v>Balsuar 3 SRL</v>
          </cell>
          <cell r="C71">
            <v>13771.23076923077</v>
          </cell>
          <cell r="D71">
            <v>5453.3076923076924</v>
          </cell>
        </row>
        <row r="72">
          <cell r="A72">
            <v>150585</v>
          </cell>
          <cell r="B72" t="str">
            <v>59 SA</v>
          </cell>
          <cell r="C72">
            <v>991.23076923076928</v>
          </cell>
          <cell r="D72">
            <v>4570.4615384615381</v>
          </cell>
        </row>
        <row r="73">
          <cell r="A73">
            <v>150606</v>
          </cell>
          <cell r="B73" t="str">
            <v>MORTEROS</v>
          </cell>
          <cell r="C73">
            <v>5932.4615384615381</v>
          </cell>
          <cell r="D73">
            <v>5885.4615384615381</v>
          </cell>
        </row>
        <row r="74">
          <cell r="A74">
            <v>150624</v>
          </cell>
          <cell r="B74" t="str">
            <v>DEL NORDESTE S.A.</v>
          </cell>
          <cell r="C74">
            <v>10089.538461538459</v>
          </cell>
          <cell r="D74">
            <v>20983.461538461539</v>
          </cell>
        </row>
        <row r="75">
          <cell r="A75">
            <v>150632</v>
          </cell>
          <cell r="B75" t="str">
            <v>DE MARTINO CARLOS ALBERTO</v>
          </cell>
          <cell r="C75">
            <v>2850.1538461538462</v>
          </cell>
          <cell r="D75">
            <v>10980.07692307692</v>
          </cell>
        </row>
        <row r="76">
          <cell r="A76">
            <v>150642</v>
          </cell>
          <cell r="B76" t="str">
            <v>SERVICENTRO AVENIDA - JULIO MARTIN DE SAUTU</v>
          </cell>
          <cell r="C76">
            <v>8311.1538461538457</v>
          </cell>
          <cell r="D76">
            <v>9702.538461538461</v>
          </cell>
        </row>
        <row r="77">
          <cell r="A77">
            <v>150647</v>
          </cell>
          <cell r="B77" t="str">
            <v>AGROSERVICE RIESTRA S.A.</v>
          </cell>
          <cell r="C77">
            <v>845.76923076923072</v>
          </cell>
          <cell r="D77">
            <v>3722.461538461539</v>
          </cell>
        </row>
        <row r="78">
          <cell r="A78">
            <v>150655</v>
          </cell>
          <cell r="B78" t="str">
            <v>ANDRES CARLOS BELZA - PEDERNERA</v>
          </cell>
          <cell r="C78">
            <v>10624.538461538459</v>
          </cell>
          <cell r="D78">
            <v>10337.461538461541</v>
          </cell>
        </row>
        <row r="79">
          <cell r="A79">
            <v>150656</v>
          </cell>
          <cell r="B79" t="str">
            <v>DIFEMA</v>
          </cell>
          <cell r="C79">
            <v>1569.846153846154</v>
          </cell>
          <cell r="D79">
            <v>7794.5384615384619</v>
          </cell>
        </row>
        <row r="80">
          <cell r="A80">
            <v>150659</v>
          </cell>
          <cell r="B80" t="str">
            <v>CARDINAL S.R.L.</v>
          </cell>
          <cell r="C80">
            <v>11266.384615384621</v>
          </cell>
          <cell r="D80">
            <v>7653.7692307692314</v>
          </cell>
        </row>
        <row r="81">
          <cell r="A81">
            <v>150679</v>
          </cell>
          <cell r="B81" t="str">
            <v>DON EDUARDO S.R.L.</v>
          </cell>
          <cell r="C81">
            <v>2986</v>
          </cell>
          <cell r="D81">
            <v>9271.8461538461543</v>
          </cell>
        </row>
        <row r="82">
          <cell r="A82">
            <v>150681</v>
          </cell>
          <cell r="B82" t="str">
            <v>DON BOSCO SRL</v>
          </cell>
          <cell r="C82">
            <v>4914.25</v>
          </cell>
          <cell r="D82">
            <v>5359.75</v>
          </cell>
        </row>
        <row r="83">
          <cell r="A83">
            <v>150690</v>
          </cell>
          <cell r="B83" t="str">
            <v>SERVIWAY - DOUTDES S.A.</v>
          </cell>
          <cell r="C83">
            <v>1647</v>
          </cell>
          <cell r="D83">
            <v>5913.7692307692314</v>
          </cell>
        </row>
        <row r="84">
          <cell r="A84">
            <v>150694</v>
          </cell>
          <cell r="B84" t="str">
            <v>DUNCUE</v>
          </cell>
          <cell r="C84">
            <v>2644.6153846153852</v>
          </cell>
          <cell r="D84">
            <v>11783.69230769231</v>
          </cell>
        </row>
        <row r="85">
          <cell r="A85">
            <v>150702</v>
          </cell>
          <cell r="B85" t="str">
            <v>Mitre 1630 SRL</v>
          </cell>
          <cell r="C85">
            <v>2640.1538461538462</v>
          </cell>
          <cell r="D85">
            <v>14561.23076923077</v>
          </cell>
        </row>
        <row r="86">
          <cell r="A86">
            <v>150738</v>
          </cell>
          <cell r="B86" t="str">
            <v>EMFACO PARQUE LELOIR</v>
          </cell>
          <cell r="C86">
            <v>4764.3076923076924</v>
          </cell>
          <cell r="D86">
            <v>18020.846153846149</v>
          </cell>
        </row>
        <row r="87">
          <cell r="A87">
            <v>150739</v>
          </cell>
          <cell r="B87" t="str">
            <v>EMFACO SAN JUSTO- PROMISORIA</v>
          </cell>
          <cell r="C87">
            <v>1794.2307692307691</v>
          </cell>
          <cell r="D87">
            <v>9979</v>
          </cell>
        </row>
        <row r="88">
          <cell r="A88">
            <v>150744</v>
          </cell>
          <cell r="B88" t="str">
            <v>EMFACO SA – BARCALA GAONA</v>
          </cell>
          <cell r="C88">
            <v>7284.3076923076924</v>
          </cell>
          <cell r="D88">
            <v>23258.076923076918</v>
          </cell>
        </row>
        <row r="89">
          <cell r="A89">
            <v>150745</v>
          </cell>
          <cell r="B89" t="str">
            <v>EMFACO – MORENO</v>
          </cell>
          <cell r="C89">
            <v>2057.3076923076919</v>
          </cell>
          <cell r="D89">
            <v>12846.61538461539</v>
          </cell>
        </row>
        <row r="90">
          <cell r="A90">
            <v>150746</v>
          </cell>
          <cell r="B90" t="str">
            <v>GRAHAM BELL</v>
          </cell>
          <cell r="C90">
            <v>7544.1538461538457</v>
          </cell>
          <cell r="D90">
            <v>16354.461538461541</v>
          </cell>
        </row>
        <row r="91">
          <cell r="A91">
            <v>150749</v>
          </cell>
          <cell r="B91" t="str">
            <v>EMICAS S.R.L.</v>
          </cell>
          <cell r="C91">
            <v>1647.461538461539</v>
          </cell>
          <cell r="D91">
            <v>9247.1538461538457</v>
          </cell>
        </row>
        <row r="92">
          <cell r="A92">
            <v>150775</v>
          </cell>
          <cell r="B92" t="str">
            <v>ENERO CASARES S.A</v>
          </cell>
          <cell r="C92">
            <v>4434.6923076923076</v>
          </cell>
          <cell r="D92">
            <v>18326.76923076923</v>
          </cell>
        </row>
        <row r="93">
          <cell r="A93">
            <v>150780</v>
          </cell>
          <cell r="B93" t="str">
            <v>EREKIN SA</v>
          </cell>
          <cell r="C93">
            <v>1028.333333333333</v>
          </cell>
          <cell r="D93">
            <v>4844.333333333333</v>
          </cell>
        </row>
        <row r="94">
          <cell r="A94">
            <v>150790</v>
          </cell>
          <cell r="B94" t="str">
            <v>ESTACION RUTA 8 Y PANAMERICANA</v>
          </cell>
          <cell r="C94">
            <v>2632.6153846153852</v>
          </cell>
          <cell r="D94">
            <v>9075.9230769230762</v>
          </cell>
        </row>
        <row r="95">
          <cell r="A95">
            <v>150794</v>
          </cell>
          <cell r="B95" t="str">
            <v>EST.DE SERV. DON CRUZ DE SANTOS</v>
          </cell>
          <cell r="C95">
            <v>7113.9230769230771</v>
          </cell>
          <cell r="D95">
            <v>23406.461538461539</v>
          </cell>
        </row>
        <row r="96">
          <cell r="A96">
            <v>150799</v>
          </cell>
          <cell r="B96" t="str">
            <v>ESTADIAS Y SERVICIOS SA</v>
          </cell>
          <cell r="C96">
            <v>1872.846153846154</v>
          </cell>
          <cell r="D96">
            <v>13400</v>
          </cell>
        </row>
        <row r="97">
          <cell r="A97">
            <v>150805</v>
          </cell>
          <cell r="B97" t="str">
            <v>SERVICENTRO HIPODROMO S.R.L.</v>
          </cell>
          <cell r="C97">
            <v>558.76923076923072</v>
          </cell>
          <cell r="D97">
            <v>3697.1538461538462</v>
          </cell>
        </row>
        <row r="98">
          <cell r="A98">
            <v>150808</v>
          </cell>
          <cell r="B98" t="str">
            <v>ESTACION DE SERVICIO GOLF S.A.</v>
          </cell>
          <cell r="C98">
            <v>8068.9230769230771</v>
          </cell>
          <cell r="D98">
            <v>15481.846153846151</v>
          </cell>
        </row>
        <row r="99">
          <cell r="A99">
            <v>150810</v>
          </cell>
          <cell r="B99" t="str">
            <v>CORS EMILIO CASTRO</v>
          </cell>
          <cell r="C99">
            <v>3193.461538461539</v>
          </cell>
          <cell r="D99">
            <v>30320.76923076923</v>
          </cell>
        </row>
        <row r="100">
          <cell r="A100">
            <v>150818</v>
          </cell>
          <cell r="B100" t="str">
            <v>ESTACION DE SERVICIO PUNILLA S.R.L.</v>
          </cell>
          <cell r="C100">
            <v>8798.1538461538457</v>
          </cell>
          <cell r="D100">
            <v>11556.538461538459</v>
          </cell>
        </row>
        <row r="101">
          <cell r="A101">
            <v>150846</v>
          </cell>
          <cell r="B101" t="str">
            <v>LA TERCERA DEL OESTE S.R.L.</v>
          </cell>
          <cell r="C101">
            <v>6945.4615384615381</v>
          </cell>
          <cell r="D101">
            <v>16447.461538461539</v>
          </cell>
        </row>
        <row r="102">
          <cell r="A102">
            <v>150848</v>
          </cell>
          <cell r="B102" t="str">
            <v>FEBO S.A.</v>
          </cell>
          <cell r="C102">
            <v>1132.2307692307691</v>
          </cell>
          <cell r="D102">
            <v>12065.538461538459</v>
          </cell>
        </row>
        <row r="103">
          <cell r="A103">
            <v>150853</v>
          </cell>
          <cell r="B103" t="str">
            <v>VENCUBE S.R.L. - LA ARAUCARIA</v>
          </cell>
          <cell r="C103">
            <v>1171.461538461539</v>
          </cell>
          <cell r="D103">
            <v>7229</v>
          </cell>
        </row>
        <row r="104">
          <cell r="A104">
            <v>150861</v>
          </cell>
          <cell r="B104" t="str">
            <v>FERRANDO Y FERRANDO</v>
          </cell>
          <cell r="C104">
            <v>13407.153846153849</v>
          </cell>
          <cell r="D104">
            <v>17070.384615384621</v>
          </cell>
        </row>
        <row r="105">
          <cell r="A105">
            <v>150880</v>
          </cell>
          <cell r="B105" t="str">
            <v>ALGAR S.R.L. - RICCHIERI</v>
          </cell>
          <cell r="C105">
            <v>1757.153846153846</v>
          </cell>
          <cell r="D105">
            <v>5948.9230769230771</v>
          </cell>
        </row>
        <row r="106">
          <cell r="A106">
            <v>150884</v>
          </cell>
          <cell r="B106" t="str">
            <v>SERVICENTRO FETTER</v>
          </cell>
          <cell r="C106">
            <v>30932</v>
          </cell>
          <cell r="D106">
            <v>8490.2307692307695</v>
          </cell>
        </row>
        <row r="107">
          <cell r="A107">
            <v>150931</v>
          </cell>
          <cell r="B107" t="str">
            <v>FURFANTO SA</v>
          </cell>
          <cell r="C107">
            <v>2451.8461538461538</v>
          </cell>
          <cell r="D107">
            <v>13831.07692307692</v>
          </cell>
        </row>
        <row r="108">
          <cell r="A108">
            <v>150933</v>
          </cell>
          <cell r="B108" t="str">
            <v>FUTOR S.A.</v>
          </cell>
          <cell r="C108">
            <v>3860.6153846153852</v>
          </cell>
          <cell r="D108">
            <v>9632.3846153846152</v>
          </cell>
        </row>
        <row r="109">
          <cell r="A109">
            <v>150935</v>
          </cell>
          <cell r="B109" t="str">
            <v>GABISERV S.A.</v>
          </cell>
          <cell r="C109">
            <v>1928.538461538461</v>
          </cell>
          <cell r="D109">
            <v>10947.153846153849</v>
          </cell>
        </row>
        <row r="110">
          <cell r="A110">
            <v>150960</v>
          </cell>
          <cell r="B110" t="str">
            <v>GARCIA S.A.</v>
          </cell>
          <cell r="C110">
            <v>1717</v>
          </cell>
          <cell r="D110">
            <v>6557.3076923076924</v>
          </cell>
        </row>
        <row r="111">
          <cell r="A111">
            <v>150970</v>
          </cell>
          <cell r="B111" t="str">
            <v>GASOIL S.R.L.</v>
          </cell>
          <cell r="C111">
            <v>1392.333333333333</v>
          </cell>
          <cell r="D111">
            <v>6565.166666666667</v>
          </cell>
        </row>
        <row r="112">
          <cell r="A112">
            <v>150982</v>
          </cell>
          <cell r="B112" t="str">
            <v>GENIAL S.A.</v>
          </cell>
          <cell r="C112">
            <v>1610.615384615385</v>
          </cell>
          <cell r="D112">
            <v>7581.6923076923076</v>
          </cell>
        </row>
        <row r="113">
          <cell r="A113">
            <v>150991</v>
          </cell>
          <cell r="B113" t="str">
            <v>EL NARANJAL</v>
          </cell>
          <cell r="C113">
            <v>197.46153846153851</v>
          </cell>
          <cell r="D113">
            <v>6036.2307692307704</v>
          </cell>
        </row>
        <row r="114">
          <cell r="A114">
            <v>150994</v>
          </cell>
          <cell r="B114" t="str">
            <v>RODOPETROL</v>
          </cell>
          <cell r="C114">
            <v>1657.666666666667</v>
          </cell>
          <cell r="D114">
            <v>6387.333333333333</v>
          </cell>
        </row>
        <row r="115">
          <cell r="A115">
            <v>151001</v>
          </cell>
          <cell r="B115" t="str">
            <v>GIMENEZ,LISANDRO Y GIMENEZ,ALFONSO</v>
          </cell>
          <cell r="C115">
            <v>0</v>
          </cell>
          <cell r="D115">
            <v>7</v>
          </cell>
        </row>
        <row r="116">
          <cell r="A116">
            <v>151015</v>
          </cell>
          <cell r="B116" t="str">
            <v>DON LUIS S.R.L.</v>
          </cell>
          <cell r="C116">
            <v>930.07692307692309</v>
          </cell>
          <cell r="D116">
            <v>21781.692307692309</v>
          </cell>
        </row>
        <row r="117">
          <cell r="A117">
            <v>151027</v>
          </cell>
          <cell r="B117" t="str">
            <v>GRASSO OMAR ANDRES Y OTROS</v>
          </cell>
          <cell r="C117">
            <v>1297.0769230769231</v>
          </cell>
          <cell r="D117">
            <v>4382.9230769230771</v>
          </cell>
        </row>
        <row r="118">
          <cell r="A118">
            <v>151030</v>
          </cell>
          <cell r="B118" t="str">
            <v>JULIO HUMBERTO GRONDONA SOCIEDAD</v>
          </cell>
          <cell r="C118">
            <v>3644.8461538461538</v>
          </cell>
          <cell r="D118">
            <v>10133.846153846151</v>
          </cell>
        </row>
        <row r="119">
          <cell r="A119">
            <v>151042</v>
          </cell>
          <cell r="B119" t="str">
            <v>EDWIN GUIFRE, HUGO OMAR FRANCOU Y</v>
          </cell>
          <cell r="C119">
            <v>1544.333333333333</v>
          </cell>
          <cell r="D119">
            <v>7219.666666666667</v>
          </cell>
        </row>
        <row r="120">
          <cell r="A120">
            <v>151066</v>
          </cell>
          <cell r="B120" t="str">
            <v>VALCARA SA - Ex Exfaco</v>
          </cell>
          <cell r="C120">
            <v>1086.461538461539</v>
          </cell>
          <cell r="D120">
            <v>12399.69230769231</v>
          </cell>
        </row>
        <row r="121">
          <cell r="A121">
            <v>151071</v>
          </cell>
          <cell r="B121" t="str">
            <v>HERMANOS MAZOUD S.C.</v>
          </cell>
          <cell r="C121">
            <v>13983</v>
          </cell>
          <cell r="D121">
            <v>4371</v>
          </cell>
        </row>
        <row r="122">
          <cell r="A122">
            <v>151074</v>
          </cell>
          <cell r="B122" t="str">
            <v>TRESLAUQUEN SOCIEDAD DE RESPONSABIL</v>
          </cell>
          <cell r="C122">
            <v>622</v>
          </cell>
          <cell r="D122">
            <v>2695.5</v>
          </cell>
        </row>
        <row r="123">
          <cell r="A123">
            <v>151092</v>
          </cell>
          <cell r="B123" t="str">
            <v>HECTOR FRANCISCO HOLLMANN</v>
          </cell>
          <cell r="C123">
            <v>1655.9230769230769</v>
          </cell>
          <cell r="D123">
            <v>3461.8461538461538</v>
          </cell>
        </row>
        <row r="124">
          <cell r="A124">
            <v>151109</v>
          </cell>
          <cell r="B124" t="str">
            <v>SERVICENTRO CASBAS - BERRIA ENERGIA</v>
          </cell>
          <cell r="C124">
            <v>1055</v>
          </cell>
          <cell r="D124">
            <v>9546.2307692307695</v>
          </cell>
        </row>
        <row r="125">
          <cell r="A125">
            <v>151195</v>
          </cell>
          <cell r="B125" t="str">
            <v>A Y A JACOB S.R.L.</v>
          </cell>
          <cell r="C125">
            <v>3045</v>
          </cell>
          <cell r="D125">
            <v>6135.666666666667</v>
          </cell>
        </row>
        <row r="126">
          <cell r="A126">
            <v>151205</v>
          </cell>
          <cell r="B126" t="str">
            <v>JAUREGUI Y MORALES SRL</v>
          </cell>
          <cell r="C126">
            <v>5310</v>
          </cell>
          <cell r="D126">
            <v>7528.6</v>
          </cell>
        </row>
        <row r="127">
          <cell r="A127">
            <v>151217</v>
          </cell>
          <cell r="B127" t="str">
            <v>CORS ZARATE BRAZO LARGO</v>
          </cell>
          <cell r="C127">
            <v>1421.7692307692309</v>
          </cell>
          <cell r="D127">
            <v>13076.61538461539</v>
          </cell>
        </row>
        <row r="128">
          <cell r="A128">
            <v>151218</v>
          </cell>
          <cell r="B128" t="str">
            <v>KAIULANI S.A.</v>
          </cell>
          <cell r="C128">
            <v>2303.6153846153852</v>
          </cell>
          <cell r="D128">
            <v>14885.384615384621</v>
          </cell>
        </row>
        <row r="129">
          <cell r="A129">
            <v>151222</v>
          </cell>
          <cell r="B129" t="str">
            <v>SIK COMBUSTIBLES</v>
          </cell>
          <cell r="C129">
            <v>12661.153846153849</v>
          </cell>
          <cell r="D129">
            <v>12083.23076923077</v>
          </cell>
        </row>
        <row r="130">
          <cell r="A130">
            <v>151226</v>
          </cell>
          <cell r="B130" t="str">
            <v>KUKE SRL</v>
          </cell>
          <cell r="C130">
            <v>1688.3076923076919</v>
          </cell>
          <cell r="D130">
            <v>10259.538461538459</v>
          </cell>
        </row>
        <row r="131">
          <cell r="A131">
            <v>151242</v>
          </cell>
          <cell r="B131" t="str">
            <v>PARG SRL</v>
          </cell>
          <cell r="C131">
            <v>340.07692307692309</v>
          </cell>
          <cell r="D131">
            <v>9322.3846153846152</v>
          </cell>
        </row>
        <row r="132">
          <cell r="A132">
            <v>151258</v>
          </cell>
          <cell r="B132" t="str">
            <v>LA ROTONDA S.R.L.</v>
          </cell>
          <cell r="C132">
            <v>22749</v>
          </cell>
          <cell r="D132">
            <v>12220.92307692308</v>
          </cell>
        </row>
        <row r="133">
          <cell r="A133">
            <v>151271</v>
          </cell>
          <cell r="B133" t="str">
            <v>LAS QUINTAS S.R.L.</v>
          </cell>
          <cell r="C133">
            <v>7786.2307692307704</v>
          </cell>
          <cell r="D133">
            <v>11759.69230769231</v>
          </cell>
        </row>
        <row r="134">
          <cell r="A134">
            <v>151277</v>
          </cell>
          <cell r="B134" t="str">
            <v>LA META SRL</v>
          </cell>
          <cell r="C134">
            <v>5768.6923076923076</v>
          </cell>
          <cell r="D134">
            <v>12871.23076923077</v>
          </cell>
        </row>
        <row r="135">
          <cell r="A135">
            <v>151281</v>
          </cell>
          <cell r="B135" t="str">
            <v>LAURENCENA S.R.L.</v>
          </cell>
          <cell r="C135">
            <v>2829.461538461539</v>
          </cell>
          <cell r="D135">
            <v>10068.384615384621</v>
          </cell>
        </row>
        <row r="136">
          <cell r="A136">
            <v>151286</v>
          </cell>
          <cell r="B136" t="str">
            <v>SERVI CAMPO S.R.L.</v>
          </cell>
          <cell r="C136">
            <v>3825.9</v>
          </cell>
          <cell r="D136">
            <v>7743.4</v>
          </cell>
        </row>
        <row r="137">
          <cell r="A137">
            <v>151287</v>
          </cell>
          <cell r="B137" t="str">
            <v>LEJEM SA</v>
          </cell>
          <cell r="C137">
            <v>2112.538461538461</v>
          </cell>
          <cell r="D137">
            <v>16000.76923076923</v>
          </cell>
        </row>
        <row r="138">
          <cell r="A138">
            <v>151295</v>
          </cell>
          <cell r="B138" t="str">
            <v>LICAFRA S.A.</v>
          </cell>
          <cell r="C138">
            <v>2945.6923076923081</v>
          </cell>
          <cell r="D138">
            <v>9787.461538461539</v>
          </cell>
        </row>
        <row r="139">
          <cell r="A139">
            <v>151296</v>
          </cell>
          <cell r="B139" t="str">
            <v>DEL TRABAJO S A</v>
          </cell>
          <cell r="C139">
            <v>3230</v>
          </cell>
          <cell r="D139">
            <v>17176.615384615379</v>
          </cell>
        </row>
        <row r="140">
          <cell r="A140">
            <v>151297</v>
          </cell>
          <cell r="B140" t="str">
            <v>DEL TRABAJO S A - LAVALLOL</v>
          </cell>
          <cell r="C140">
            <v>3329.8333333333339</v>
          </cell>
          <cell r="D140">
            <v>15245.16666666667</v>
          </cell>
        </row>
        <row r="141">
          <cell r="A141">
            <v>151303</v>
          </cell>
          <cell r="B141" t="str">
            <v>ROGELIO LILLINI E HIJOS</v>
          </cell>
          <cell r="C141">
            <v>90.92307692307692</v>
          </cell>
          <cell r="D141">
            <v>1828.846153846154</v>
          </cell>
        </row>
        <row r="142">
          <cell r="A142">
            <v>151309</v>
          </cell>
          <cell r="B142" t="str">
            <v>JOSE LUIS LOGIOCO</v>
          </cell>
          <cell r="C142">
            <v>8561.6923076923085</v>
          </cell>
          <cell r="D142">
            <v>9513.538461538461</v>
          </cell>
        </row>
        <row r="143">
          <cell r="A143">
            <v>151316</v>
          </cell>
          <cell r="B143" t="str">
            <v>LOMALI</v>
          </cell>
          <cell r="C143">
            <v>2598.461538461539</v>
          </cell>
          <cell r="D143">
            <v>12810.384615384621</v>
          </cell>
        </row>
        <row r="144">
          <cell r="A144">
            <v>151325</v>
          </cell>
          <cell r="B144" t="str">
            <v>BONFIGLI RONALDO FLAMINIO</v>
          </cell>
          <cell r="C144">
            <v>3487.6923076923081</v>
          </cell>
          <cell r="D144">
            <v>4276.3846153846152</v>
          </cell>
        </row>
        <row r="145">
          <cell r="A145">
            <v>151328</v>
          </cell>
          <cell r="B145" t="str">
            <v>LOSANO Y CIA SA (Hernando)</v>
          </cell>
          <cell r="C145">
            <v>644</v>
          </cell>
          <cell r="D145">
            <v>5022</v>
          </cell>
        </row>
        <row r="146">
          <cell r="A146">
            <v>151330</v>
          </cell>
          <cell r="B146" t="str">
            <v>LOSANO Y CIA SA</v>
          </cell>
          <cell r="C146">
            <v>877.76923076923072</v>
          </cell>
          <cell r="D146">
            <v>4534.8461538461543</v>
          </cell>
        </row>
        <row r="147">
          <cell r="A147">
            <v>151334</v>
          </cell>
          <cell r="B147" t="str">
            <v>LOS CERRITOS S.A.</v>
          </cell>
          <cell r="C147">
            <v>6967.3076923076924</v>
          </cell>
          <cell r="D147">
            <v>14004.92307692308</v>
          </cell>
        </row>
        <row r="148">
          <cell r="A148">
            <v>151355</v>
          </cell>
          <cell r="B148" t="str">
            <v>LLANTAY S.R.L.</v>
          </cell>
          <cell r="C148">
            <v>7815.6923076923076</v>
          </cell>
          <cell r="D148">
            <v>18981.384615384621</v>
          </cell>
        </row>
        <row r="149">
          <cell r="A149">
            <v>151379</v>
          </cell>
          <cell r="B149" t="str">
            <v>MADRASSI Y CIA. S.A.</v>
          </cell>
          <cell r="C149">
            <v>35864.307692307702</v>
          </cell>
          <cell r="D149">
            <v>26814.153846153851</v>
          </cell>
        </row>
        <row r="150">
          <cell r="A150">
            <v>151386</v>
          </cell>
          <cell r="B150" t="str">
            <v>SERVICENTRO UNIMEV - MANATRIZIO NOELIA</v>
          </cell>
          <cell r="C150">
            <v>2561.461538461539</v>
          </cell>
          <cell r="D150">
            <v>8666.9230769230762</v>
          </cell>
        </row>
        <row r="151">
          <cell r="A151">
            <v>151390</v>
          </cell>
          <cell r="B151" t="str">
            <v>MAPACHI SRL</v>
          </cell>
          <cell r="C151">
            <v>2325.5</v>
          </cell>
          <cell r="D151">
            <v>4377</v>
          </cell>
        </row>
        <row r="152">
          <cell r="A152">
            <v>151395</v>
          </cell>
          <cell r="B152" t="str">
            <v>SERVICENTRO SAN SEBASTIAN</v>
          </cell>
          <cell r="C152">
            <v>3085.461538461539</v>
          </cell>
          <cell r="D152">
            <v>7138.2307692307704</v>
          </cell>
        </row>
        <row r="153">
          <cell r="A153">
            <v>151398</v>
          </cell>
          <cell r="B153" t="str">
            <v>JOSE LUIS MARINO</v>
          </cell>
          <cell r="C153">
            <v>516.92307692307691</v>
          </cell>
          <cell r="D153">
            <v>4388.6153846153848</v>
          </cell>
        </row>
        <row r="154">
          <cell r="A154">
            <v>151402</v>
          </cell>
          <cell r="B154" t="str">
            <v>JUAN MARQUEZ RUIZ</v>
          </cell>
          <cell r="C154">
            <v>6520.4285714285716</v>
          </cell>
          <cell r="D154">
            <v>2757.571428571428</v>
          </cell>
        </row>
        <row r="155">
          <cell r="A155">
            <v>151403</v>
          </cell>
          <cell r="B155" t="str">
            <v>TRANSPORTE ROSANIA S.A.</v>
          </cell>
          <cell r="C155">
            <v>2901.7692307692309</v>
          </cell>
          <cell r="D155">
            <v>6964.6153846153848</v>
          </cell>
        </row>
        <row r="156">
          <cell r="A156">
            <v>151443</v>
          </cell>
          <cell r="B156" t="str">
            <v>AV. MELIPAL S.A.- PEÑALOZA</v>
          </cell>
          <cell r="C156">
            <v>24766.923076923082</v>
          </cell>
          <cell r="D156">
            <v>12685.461538461541</v>
          </cell>
        </row>
        <row r="157">
          <cell r="A157">
            <v>151454</v>
          </cell>
          <cell r="B157" t="str">
            <v>OASIS SOCIEDAD RESPONSABILIDAD RET</v>
          </cell>
          <cell r="C157">
            <v>723.92307692307691</v>
          </cell>
          <cell r="D157">
            <v>23159.692307692309</v>
          </cell>
        </row>
        <row r="158">
          <cell r="A158">
            <v>151457</v>
          </cell>
          <cell r="B158" t="str">
            <v>METGER S.A.</v>
          </cell>
          <cell r="C158">
            <v>14609.538461538459</v>
          </cell>
          <cell r="D158">
            <v>7863.3846153846152</v>
          </cell>
        </row>
        <row r="159">
          <cell r="A159">
            <v>151458</v>
          </cell>
          <cell r="B159" t="str">
            <v>CANELA OSCAR ANTONIO</v>
          </cell>
          <cell r="C159">
            <v>9972.6923076923085</v>
          </cell>
          <cell r="D159">
            <v>11148.384615384621</v>
          </cell>
        </row>
        <row r="160">
          <cell r="A160">
            <v>151459</v>
          </cell>
          <cell r="B160" t="str">
            <v>METGER S.A. (LEMMAN)</v>
          </cell>
          <cell r="C160">
            <v>11933.92307692308</v>
          </cell>
          <cell r="D160">
            <v>5891.6153846153848</v>
          </cell>
        </row>
        <row r="161">
          <cell r="A161">
            <v>151460</v>
          </cell>
          <cell r="B161" t="str">
            <v>AXIONMEYER - MEYER RICARDO ALBERTO</v>
          </cell>
          <cell r="C161">
            <v>6217.1538461538457</v>
          </cell>
          <cell r="D161">
            <v>7769.2307692307704</v>
          </cell>
        </row>
        <row r="162">
          <cell r="A162">
            <v>151466</v>
          </cell>
          <cell r="B162" t="str">
            <v>OPERADORA COMERCIAL S.A.</v>
          </cell>
          <cell r="C162">
            <v>4692.3846153846152</v>
          </cell>
          <cell r="D162">
            <v>15417.30769230769</v>
          </cell>
        </row>
        <row r="163">
          <cell r="A163">
            <v>151467</v>
          </cell>
          <cell r="B163" t="str">
            <v>OPERADORA COMERCIAL S.A.- POSADAS</v>
          </cell>
          <cell r="C163">
            <v>5053</v>
          </cell>
          <cell r="D163">
            <v>12614</v>
          </cell>
        </row>
        <row r="164">
          <cell r="A164">
            <v>151486</v>
          </cell>
          <cell r="B164" t="str">
            <v>LUIS Y NORBERTO MONDINO S.A.</v>
          </cell>
          <cell r="C164">
            <v>10537.384615384621</v>
          </cell>
          <cell r="D164">
            <v>15410.69230769231</v>
          </cell>
        </row>
        <row r="165">
          <cell r="A165">
            <v>151508</v>
          </cell>
          <cell r="B165" t="str">
            <v>MIGUEL ROBERTO MUKDISE HNOS. SOC.</v>
          </cell>
          <cell r="C165">
            <v>34769.923076923078</v>
          </cell>
          <cell r="D165">
            <v>24269.76923076923</v>
          </cell>
        </row>
        <row r="166">
          <cell r="A166">
            <v>151520</v>
          </cell>
          <cell r="B166" t="str">
            <v>HIJOS DE ROGELIO NARDI S.R.L.</v>
          </cell>
          <cell r="C166">
            <v>46.333333333333343</v>
          </cell>
          <cell r="D166">
            <v>799.25</v>
          </cell>
        </row>
        <row r="167">
          <cell r="A167">
            <v>151546</v>
          </cell>
          <cell r="B167" t="str">
            <v>NICIFORO HNOS S.H.</v>
          </cell>
          <cell r="C167">
            <v>9435.6923076923085</v>
          </cell>
          <cell r="D167">
            <v>8659.538461538461</v>
          </cell>
        </row>
        <row r="168">
          <cell r="A168">
            <v>151581</v>
          </cell>
          <cell r="B168" t="str">
            <v>COMBUSTIBLES SERRANOS SA- LA FALDA</v>
          </cell>
          <cell r="C168">
            <v>11183.846153846151</v>
          </cell>
          <cell r="D168">
            <v>11240.30769230769</v>
          </cell>
        </row>
        <row r="169">
          <cell r="A169">
            <v>151594</v>
          </cell>
          <cell r="B169" t="str">
            <v>ROBERTO SIMON OTEGUI</v>
          </cell>
          <cell r="C169">
            <v>11205.461538461541</v>
          </cell>
          <cell r="D169">
            <v>7060.3076923076924</v>
          </cell>
        </row>
        <row r="170">
          <cell r="A170">
            <v>151605</v>
          </cell>
          <cell r="B170" t="str">
            <v>SERVICENTRO AYACUCHO</v>
          </cell>
          <cell r="C170">
            <v>10671.07692307692</v>
          </cell>
          <cell r="D170">
            <v>8350.1538461538457</v>
          </cell>
        </row>
        <row r="171">
          <cell r="A171">
            <v>151608</v>
          </cell>
          <cell r="B171" t="str">
            <v>PAMISA S.R.L.</v>
          </cell>
          <cell r="C171">
            <v>1044.615384615385</v>
          </cell>
          <cell r="D171">
            <v>4419.7692307692314</v>
          </cell>
        </row>
        <row r="172">
          <cell r="A172">
            <v>151640</v>
          </cell>
          <cell r="B172" t="str">
            <v>BERNHARDT CARLOS RODOLFO LUIS MARTIN</v>
          </cell>
          <cell r="C172">
            <v>10788.07692307692</v>
          </cell>
          <cell r="D172">
            <v>18078.923076923082</v>
          </cell>
        </row>
        <row r="173">
          <cell r="A173">
            <v>151671</v>
          </cell>
          <cell r="B173" t="str">
            <v>PETROLERA SAN JUAN S.A.</v>
          </cell>
          <cell r="C173">
            <v>3318.2307692307691</v>
          </cell>
          <cell r="D173">
            <v>4681.4615384615381</v>
          </cell>
        </row>
        <row r="174">
          <cell r="A174">
            <v>151684</v>
          </cell>
          <cell r="B174" t="str">
            <v>PETROTRES S.A.</v>
          </cell>
          <cell r="C174">
            <v>3031.461538461539</v>
          </cell>
          <cell r="D174">
            <v>12156.153846153849</v>
          </cell>
        </row>
        <row r="175">
          <cell r="A175">
            <v>151688</v>
          </cell>
          <cell r="B175" t="str">
            <v>PETROSUR SA</v>
          </cell>
          <cell r="C175">
            <v>3670.538461538461</v>
          </cell>
          <cell r="D175">
            <v>6792.6153846153848</v>
          </cell>
        </row>
        <row r="176">
          <cell r="A176">
            <v>151691</v>
          </cell>
          <cell r="B176" t="str">
            <v>ITALMAC</v>
          </cell>
          <cell r="C176">
            <v>4754.7692307692314</v>
          </cell>
          <cell r="D176">
            <v>9783.461538461539</v>
          </cell>
        </row>
        <row r="177">
          <cell r="A177">
            <v>151693</v>
          </cell>
          <cell r="B177" t="str">
            <v>PETRONORTE SRL</v>
          </cell>
          <cell r="C177">
            <v>12261.3</v>
          </cell>
          <cell r="D177">
            <v>20444.2</v>
          </cell>
        </row>
        <row r="178">
          <cell r="A178">
            <v>151703</v>
          </cell>
          <cell r="B178" t="str">
            <v>REICHEL SA</v>
          </cell>
          <cell r="C178">
            <v>10224.538461538459</v>
          </cell>
          <cell r="D178">
            <v>10941.92307692308</v>
          </cell>
        </row>
        <row r="179">
          <cell r="A179">
            <v>151712</v>
          </cell>
          <cell r="B179" t="str">
            <v>FULL PETROL S.A. - Cañada de Gomez</v>
          </cell>
          <cell r="C179">
            <v>13047.461538461541</v>
          </cell>
          <cell r="D179">
            <v>10287.461538461541</v>
          </cell>
        </row>
        <row r="180">
          <cell r="A180">
            <v>151724</v>
          </cell>
          <cell r="B180" t="str">
            <v>ALBERDI (PONCE)</v>
          </cell>
          <cell r="C180">
            <v>16080.61538461539</v>
          </cell>
          <cell r="D180">
            <v>5942.4615384615381</v>
          </cell>
        </row>
        <row r="181">
          <cell r="A181">
            <v>151725</v>
          </cell>
          <cell r="B181" t="str">
            <v>PONCE JOSE MARIA - VIRGEN DEL VALLE</v>
          </cell>
          <cell r="C181">
            <v>7715.6923076923076</v>
          </cell>
          <cell r="D181">
            <v>7132.3846153846152</v>
          </cell>
        </row>
        <row r="182">
          <cell r="A182">
            <v>151728</v>
          </cell>
          <cell r="B182" t="str">
            <v>POTENCAR S.R.L. CASEROS</v>
          </cell>
          <cell r="C182">
            <v>2475.7692307692309</v>
          </cell>
          <cell r="D182">
            <v>13226.30769230769</v>
          </cell>
        </row>
        <row r="183">
          <cell r="A183">
            <v>151748</v>
          </cell>
          <cell r="B183" t="str">
            <v>MENENDEZ Y CIA SRL</v>
          </cell>
          <cell r="C183">
            <v>7479.25</v>
          </cell>
          <cell r="D183">
            <v>11445.75</v>
          </cell>
        </row>
        <row r="184">
          <cell r="A184">
            <v>151750</v>
          </cell>
          <cell r="B184" t="str">
            <v>PUERTA S.A. - APOSTOLES</v>
          </cell>
          <cell r="C184">
            <v>14292.846153846151</v>
          </cell>
          <cell r="D184">
            <v>18375.846153846149</v>
          </cell>
        </row>
        <row r="185">
          <cell r="A185">
            <v>151752</v>
          </cell>
          <cell r="B185" t="str">
            <v>PUERTA S.A. URUGUAY</v>
          </cell>
          <cell r="C185">
            <v>6702.6153846153848</v>
          </cell>
          <cell r="D185">
            <v>13085.07692307692</v>
          </cell>
        </row>
        <row r="186">
          <cell r="A186">
            <v>151753</v>
          </cell>
          <cell r="B186" t="str">
            <v>PUERTA S.A. - QUARANTA</v>
          </cell>
          <cell r="C186">
            <v>8358.9230769230762</v>
          </cell>
          <cell r="D186">
            <v>13315.23076923077</v>
          </cell>
        </row>
        <row r="187">
          <cell r="A187">
            <v>151757</v>
          </cell>
          <cell r="B187" t="str">
            <v>PUMA SALTO S.R.L.</v>
          </cell>
          <cell r="C187">
            <v>5639.3076923076924</v>
          </cell>
          <cell r="D187">
            <v>7152.1538461538457</v>
          </cell>
        </row>
        <row r="188">
          <cell r="A188">
            <v>151758</v>
          </cell>
          <cell r="B188" t="str">
            <v>PUNTA SHOPPING S.R.L.</v>
          </cell>
          <cell r="C188">
            <v>1519.0769230769231</v>
          </cell>
          <cell r="D188">
            <v>5364.6153846153848</v>
          </cell>
        </row>
        <row r="189">
          <cell r="A189">
            <v>151778</v>
          </cell>
          <cell r="B189" t="str">
            <v>SERVICENTRO SANTO TOME SRL</v>
          </cell>
          <cell r="C189">
            <v>10592.07692307692</v>
          </cell>
          <cell r="D189">
            <v>16628.615384615379</v>
          </cell>
        </row>
        <row r="190">
          <cell r="A190">
            <v>151787</v>
          </cell>
          <cell r="B190" t="str">
            <v>TREMEN S.R.L. - Calle Gallardo</v>
          </cell>
          <cell r="C190">
            <v>1581</v>
          </cell>
          <cell r="D190">
            <v>23532.615384615379</v>
          </cell>
        </row>
        <row r="191">
          <cell r="A191">
            <v>151788</v>
          </cell>
          <cell r="B191" t="str">
            <v>RIAMBER S.A. -TEMPERLEY</v>
          </cell>
          <cell r="C191">
            <v>669.53846153846155</v>
          </cell>
          <cell r="D191">
            <v>4230.6923076923076</v>
          </cell>
        </row>
        <row r="192">
          <cell r="A192">
            <v>151789</v>
          </cell>
          <cell r="B192" t="str">
            <v>RIAMBER S.A. (ADROGUE)</v>
          </cell>
          <cell r="C192">
            <v>712.46153846153845</v>
          </cell>
          <cell r="D192">
            <v>4196.9230769230771</v>
          </cell>
        </row>
        <row r="193">
          <cell r="A193">
            <v>151801</v>
          </cell>
          <cell r="B193" t="str">
            <v>ROCAL SRL</v>
          </cell>
          <cell r="C193">
            <v>713</v>
          </cell>
          <cell r="D193">
            <v>5020.6153846153848</v>
          </cell>
        </row>
        <row r="194">
          <cell r="A194">
            <v>151804</v>
          </cell>
          <cell r="B194" t="str">
            <v>RODOVIA SA</v>
          </cell>
          <cell r="C194">
            <v>1867.9230769230769</v>
          </cell>
          <cell r="D194">
            <v>14012</v>
          </cell>
        </row>
        <row r="195">
          <cell r="A195">
            <v>151806</v>
          </cell>
          <cell r="B195" t="str">
            <v>CUBALONSO COMBUSTIBLES S.R.L.</v>
          </cell>
          <cell r="C195">
            <v>1864.0769230769231</v>
          </cell>
          <cell r="D195">
            <v>2897.7692307692309</v>
          </cell>
        </row>
        <row r="196">
          <cell r="A196">
            <v>151809</v>
          </cell>
          <cell r="B196" t="str">
            <v>CORS FLORENCIO VARELA</v>
          </cell>
          <cell r="C196">
            <v>4723</v>
          </cell>
          <cell r="D196">
            <v>27151.461538461539</v>
          </cell>
        </row>
        <row r="197">
          <cell r="A197">
            <v>151814</v>
          </cell>
          <cell r="B197" t="str">
            <v>RODSTATION S.A.</v>
          </cell>
          <cell r="C197">
            <v>2111.9230769230771</v>
          </cell>
          <cell r="D197">
            <v>6913.3846153846152</v>
          </cell>
        </row>
        <row r="198">
          <cell r="A198">
            <v>151816</v>
          </cell>
          <cell r="B198" t="str">
            <v>ROMA COMBUSTIBLES SA (Santa Fe y Brown)</v>
          </cell>
          <cell r="C198">
            <v>17425.692307692309</v>
          </cell>
          <cell r="D198">
            <v>15551.92307692308</v>
          </cell>
        </row>
        <row r="199">
          <cell r="A199">
            <v>151817</v>
          </cell>
          <cell r="B199" t="str">
            <v>ROMA COMBUSTIBLES SA (Ovidio Lagos)</v>
          </cell>
          <cell r="C199">
            <v>6806.2307692307704</v>
          </cell>
          <cell r="D199">
            <v>9784.9230769230762</v>
          </cell>
        </row>
        <row r="200">
          <cell r="A200">
            <v>151823</v>
          </cell>
          <cell r="B200" t="str">
            <v>BRIMAK-SERVICENTRO ALFA ROSA</v>
          </cell>
          <cell r="C200">
            <v>13630.461538461541</v>
          </cell>
          <cell r="D200">
            <v>11034.384615384621</v>
          </cell>
        </row>
        <row r="201">
          <cell r="A201">
            <v>151830</v>
          </cell>
          <cell r="B201" t="str">
            <v>ROTONDA S.A.</v>
          </cell>
          <cell r="C201">
            <v>782.92307692307691</v>
          </cell>
          <cell r="D201">
            <v>3817.538461538461</v>
          </cell>
        </row>
        <row r="202">
          <cell r="A202">
            <v>151833</v>
          </cell>
          <cell r="B202" t="str">
            <v>SAVOIA SA</v>
          </cell>
          <cell r="C202">
            <v>1700.153846153846</v>
          </cell>
          <cell r="D202">
            <v>10416.846153846151</v>
          </cell>
        </row>
        <row r="203">
          <cell r="A203">
            <v>151835</v>
          </cell>
          <cell r="B203" t="str">
            <v>JUAN B. RUBIANO E HIJOS SOC. DE</v>
          </cell>
          <cell r="C203">
            <v>3572.6923076923081</v>
          </cell>
          <cell r="D203">
            <v>5086.8461538461543</v>
          </cell>
        </row>
        <row r="204">
          <cell r="A204">
            <v>151836</v>
          </cell>
          <cell r="B204" t="str">
            <v>YAPAI S.R.L.</v>
          </cell>
          <cell r="C204">
            <v>8897.6153846153848</v>
          </cell>
          <cell r="D204">
            <v>11097.538461538459</v>
          </cell>
        </row>
        <row r="205">
          <cell r="A205">
            <v>151838</v>
          </cell>
          <cell r="B205" t="str">
            <v>TURDERA COMBUSTIBLES SRL</v>
          </cell>
          <cell r="C205">
            <v>1082</v>
          </cell>
          <cell r="D205">
            <v>4652.1538461538457</v>
          </cell>
        </row>
        <row r="206">
          <cell r="A206">
            <v>151845</v>
          </cell>
          <cell r="B206" t="str">
            <v>SERVICENTRO SAN RAFAEL S.R.L.</v>
          </cell>
          <cell r="C206">
            <v>5051</v>
          </cell>
          <cell r="D206">
            <v>15649.69230769231</v>
          </cell>
        </row>
        <row r="207">
          <cell r="A207">
            <v>151847</v>
          </cell>
          <cell r="B207" t="str">
            <v>RUTA 12 S.A.</v>
          </cell>
          <cell r="C207">
            <v>5865</v>
          </cell>
          <cell r="D207">
            <v>21638.538461538461</v>
          </cell>
        </row>
        <row r="208">
          <cell r="A208">
            <v>151849</v>
          </cell>
          <cell r="B208" t="str">
            <v>RUTA UNO S.R.L.</v>
          </cell>
          <cell r="C208">
            <v>8629.0769230769238</v>
          </cell>
          <cell r="D208">
            <v>24195.76923076923</v>
          </cell>
        </row>
        <row r="209">
          <cell r="A209">
            <v>151850</v>
          </cell>
          <cell r="B209" t="str">
            <v>CASALE ABEL LUIS Y LUIS IVAN CASALE</v>
          </cell>
          <cell r="C209">
            <v>1208</v>
          </cell>
          <cell r="D209">
            <v>6372.4615384615381</v>
          </cell>
        </row>
        <row r="210">
          <cell r="A210">
            <v>151855</v>
          </cell>
          <cell r="B210" t="str">
            <v>HORACIO DEL POPOLO E HIJOS S.A.</v>
          </cell>
          <cell r="C210">
            <v>2188.538461538461</v>
          </cell>
          <cell r="D210">
            <v>2453.538461538461</v>
          </cell>
        </row>
        <row r="211">
          <cell r="A211">
            <v>151858</v>
          </cell>
          <cell r="B211" t="str">
            <v>GEMACO SOCIEDADE ANONIMA</v>
          </cell>
          <cell r="C211">
            <v>6846.375</v>
          </cell>
          <cell r="D211">
            <v>4293.75</v>
          </cell>
        </row>
        <row r="212">
          <cell r="A212">
            <v>151868</v>
          </cell>
          <cell r="B212" t="str">
            <v>SAN JOSE S.H.</v>
          </cell>
          <cell r="C212">
            <v>3413.3846153846148</v>
          </cell>
          <cell r="D212">
            <v>21541.307692307691</v>
          </cell>
        </row>
        <row r="213">
          <cell r="A213">
            <v>151871</v>
          </cell>
          <cell r="B213" t="str">
            <v>SC A.G.A.F.</v>
          </cell>
          <cell r="C213">
            <v>6432.5384615384619</v>
          </cell>
          <cell r="D213">
            <v>18152.461538461539</v>
          </cell>
        </row>
        <row r="214">
          <cell r="A214">
            <v>151880</v>
          </cell>
          <cell r="B214" t="str">
            <v>GRUPO SAN EDUARDO SAS</v>
          </cell>
          <cell r="C214">
            <v>2970</v>
          </cell>
          <cell r="D214">
            <v>7900.666666666667</v>
          </cell>
        </row>
        <row r="215">
          <cell r="A215">
            <v>151884</v>
          </cell>
          <cell r="B215" t="str">
            <v>CORS BULNES</v>
          </cell>
          <cell r="C215">
            <v>7448.8461538461543</v>
          </cell>
          <cell r="D215">
            <v>22117.153846153851</v>
          </cell>
        </row>
        <row r="216">
          <cell r="A216">
            <v>151892</v>
          </cell>
          <cell r="B216" t="str">
            <v>FOURMAX SRL</v>
          </cell>
          <cell r="C216">
            <v>271.84615384615392</v>
          </cell>
          <cell r="D216">
            <v>6535.6153846153848</v>
          </cell>
        </row>
        <row r="217">
          <cell r="A217">
            <v>151898</v>
          </cell>
          <cell r="B217" t="str">
            <v>SCHOLLES OMAR ALBERTO</v>
          </cell>
          <cell r="C217">
            <v>7047.8</v>
          </cell>
          <cell r="D217">
            <v>19444.2</v>
          </cell>
        </row>
        <row r="218">
          <cell r="A218">
            <v>151904</v>
          </cell>
          <cell r="B218" t="str">
            <v>SCOLARI HNOS</v>
          </cell>
          <cell r="C218">
            <v>4493.5384615384619</v>
          </cell>
          <cell r="D218">
            <v>6224.5384615384619</v>
          </cell>
        </row>
        <row r="219">
          <cell r="A219">
            <v>151905</v>
          </cell>
          <cell r="B219" t="str">
            <v>JOSE AFID SCHAMUN SRL</v>
          </cell>
          <cell r="C219">
            <v>8247</v>
          </cell>
          <cell r="D219">
            <v>7133.6923076923076</v>
          </cell>
        </row>
        <row r="220">
          <cell r="A220">
            <v>151909</v>
          </cell>
          <cell r="B220" t="str">
            <v>SCHULZ ORLANDO Y HERALDO SOCIEDAD</v>
          </cell>
          <cell r="C220">
            <v>0</v>
          </cell>
          <cell r="D220">
            <v>9</v>
          </cell>
        </row>
        <row r="221">
          <cell r="A221">
            <v>151915</v>
          </cell>
          <cell r="B221" t="str">
            <v>SECORVEP</v>
          </cell>
          <cell r="C221">
            <v>2108.9230769230771</v>
          </cell>
          <cell r="D221">
            <v>19573.461538461539</v>
          </cell>
        </row>
        <row r="222">
          <cell r="A222">
            <v>151921</v>
          </cell>
          <cell r="B222" t="str">
            <v>SERVI SUD S.R.L.</v>
          </cell>
          <cell r="C222">
            <v>5600.6153846153848</v>
          </cell>
          <cell r="D222">
            <v>8378.3846153846152</v>
          </cell>
        </row>
        <row r="223">
          <cell r="A223">
            <v>151923</v>
          </cell>
          <cell r="B223" t="str">
            <v>SERVI JOSE CARASA SOC. DE HECHO</v>
          </cell>
          <cell r="C223">
            <v>5330.8461538461543</v>
          </cell>
          <cell r="D223">
            <v>11775.384615384621</v>
          </cell>
        </row>
        <row r="224">
          <cell r="A224">
            <v>151925</v>
          </cell>
          <cell r="B224" t="str">
            <v>SERVICIOS PADUA S.A. - PADUA</v>
          </cell>
          <cell r="C224">
            <v>4507.9230769230771</v>
          </cell>
          <cell r="D224">
            <v>19157.307692307691</v>
          </cell>
        </row>
        <row r="225">
          <cell r="A225">
            <v>151926</v>
          </cell>
          <cell r="B225" t="str">
            <v>SERVICIOS PADUA S.A. - MERLO</v>
          </cell>
          <cell r="C225">
            <v>1761.538461538461</v>
          </cell>
          <cell r="D225">
            <v>7108.8461538461543</v>
          </cell>
        </row>
        <row r="226">
          <cell r="A226">
            <v>151927</v>
          </cell>
          <cell r="B226" t="str">
            <v>SERVI BROWN S.A.</v>
          </cell>
          <cell r="C226">
            <v>3530.3846153846148</v>
          </cell>
          <cell r="D226">
            <v>9752.9230769230762</v>
          </cell>
        </row>
        <row r="227">
          <cell r="A227">
            <v>151929</v>
          </cell>
          <cell r="B227" t="str">
            <v>ERNESTO VESCIA - CARCANO</v>
          </cell>
          <cell r="C227">
            <v>10736.153846153849</v>
          </cell>
          <cell r="D227">
            <v>14036.23076923077</v>
          </cell>
        </row>
        <row r="228">
          <cell r="A228">
            <v>151932</v>
          </cell>
          <cell r="B228" t="str">
            <v>VESCIA ERNESTO- SAN MARTIN</v>
          </cell>
          <cell r="C228">
            <v>3493.6153846153852</v>
          </cell>
          <cell r="D228">
            <v>5168.3846153846152</v>
          </cell>
        </row>
        <row r="229">
          <cell r="A229">
            <v>151936</v>
          </cell>
          <cell r="B229" t="str">
            <v>SERVICENTROS OBERA S.A.-CALLE SARMIENTO</v>
          </cell>
          <cell r="C229">
            <v>9702.461538461539</v>
          </cell>
          <cell r="D229">
            <v>15327.384615384621</v>
          </cell>
        </row>
        <row r="230">
          <cell r="A230">
            <v>151937</v>
          </cell>
          <cell r="B230" t="str">
            <v>LOS CERRITOS</v>
          </cell>
          <cell r="C230">
            <v>6961.6153846153848</v>
          </cell>
          <cell r="D230">
            <v>14299.61538461539</v>
          </cell>
        </row>
        <row r="231">
          <cell r="A231">
            <v>151938</v>
          </cell>
          <cell r="B231" t="str">
            <v>SERVICENTROS OBERA SA -RUTA 14</v>
          </cell>
          <cell r="C231">
            <v>8733.6923076923085</v>
          </cell>
          <cell r="D231">
            <v>26442.153846153851</v>
          </cell>
        </row>
        <row r="232">
          <cell r="A232">
            <v>151940</v>
          </cell>
          <cell r="B232" t="str">
            <v>SERVI-SUR</v>
          </cell>
          <cell r="C232">
            <v>15791.461538461541</v>
          </cell>
          <cell r="D232">
            <v>11074.846153846151</v>
          </cell>
        </row>
        <row r="233">
          <cell r="A233">
            <v>151966</v>
          </cell>
          <cell r="B233" t="str">
            <v>7 DE AGOSTO</v>
          </cell>
          <cell r="C233">
            <v>1701</v>
          </cell>
          <cell r="D233">
            <v>7062.0769230769229</v>
          </cell>
        </row>
        <row r="234">
          <cell r="A234">
            <v>151975</v>
          </cell>
          <cell r="B234" t="str">
            <v>SILVESTRE ALBERTO JOSE Y RUBEN RAUL</v>
          </cell>
          <cell r="C234">
            <v>1812.6</v>
          </cell>
          <cell r="D234">
            <v>7410</v>
          </cell>
        </row>
        <row r="235">
          <cell r="A235">
            <v>151990</v>
          </cell>
          <cell r="B235" t="str">
            <v>CORS VILLA ALLENDE</v>
          </cell>
          <cell r="C235">
            <v>12965.30769230769</v>
          </cell>
          <cell r="D235">
            <v>31216.923076923082</v>
          </cell>
        </row>
        <row r="236">
          <cell r="A236">
            <v>152007</v>
          </cell>
          <cell r="B236" t="str">
            <v>DON ELOY SUCESOR DEL 158255</v>
          </cell>
          <cell r="C236">
            <v>1391.538461538461</v>
          </cell>
          <cell r="D236">
            <v>6314</v>
          </cell>
        </row>
        <row r="237">
          <cell r="A237">
            <v>152008</v>
          </cell>
          <cell r="B237" t="str">
            <v>LOMA PORA</v>
          </cell>
          <cell r="C237">
            <v>2792.461538461539</v>
          </cell>
          <cell r="D237">
            <v>6876.1538461538457</v>
          </cell>
        </row>
        <row r="238">
          <cell r="A238">
            <v>152014</v>
          </cell>
          <cell r="B238" t="str">
            <v>SRUR SRL</v>
          </cell>
          <cell r="C238">
            <v>3161.1538461538462</v>
          </cell>
          <cell r="D238">
            <v>12529.92307692308</v>
          </cell>
        </row>
        <row r="239">
          <cell r="A239">
            <v>152017</v>
          </cell>
          <cell r="B239" t="str">
            <v>VILLANUEVA CARLOS HORACIO STURNIOLO</v>
          </cell>
          <cell r="C239">
            <v>3883.3076923076919</v>
          </cell>
          <cell r="D239">
            <v>10151.153846153849</v>
          </cell>
        </row>
        <row r="240">
          <cell r="A240">
            <v>152018</v>
          </cell>
          <cell r="B240" t="str">
            <v>BARRAQUERO  CARLOS HORACIO STURNIOLO</v>
          </cell>
          <cell r="C240">
            <v>2282.6923076923081</v>
          </cell>
          <cell r="D240">
            <v>8485.6153846153848</v>
          </cell>
        </row>
        <row r="241">
          <cell r="A241">
            <v>152028</v>
          </cell>
          <cell r="B241" t="str">
            <v>SS SAN CRISTOBAL S.A. SUC DE 158287</v>
          </cell>
          <cell r="C241">
            <v>2230.3076923076919</v>
          </cell>
          <cell r="D241">
            <v>9576.0769230769238</v>
          </cell>
        </row>
        <row r="242">
          <cell r="A242">
            <v>152030</v>
          </cell>
          <cell r="B242" t="str">
            <v>GRANDO HERMANOS SRL</v>
          </cell>
          <cell r="C242">
            <v>3308.538461538461</v>
          </cell>
          <cell r="D242">
            <v>6148.5384615384619</v>
          </cell>
        </row>
        <row r="243">
          <cell r="A243">
            <v>152032</v>
          </cell>
          <cell r="B243" t="str">
            <v>SUCESORES DE JOSE ERCOLE GRASSO</v>
          </cell>
          <cell r="C243">
            <v>1659.461538461539</v>
          </cell>
          <cell r="D243">
            <v>5504.7692307692314</v>
          </cell>
        </row>
        <row r="244">
          <cell r="A244">
            <v>152040</v>
          </cell>
          <cell r="B244" t="str">
            <v>SUMAJ SRL</v>
          </cell>
          <cell r="C244">
            <v>19807.615384615379</v>
          </cell>
          <cell r="D244">
            <v>14514</v>
          </cell>
        </row>
        <row r="245">
          <cell r="A245">
            <v>152058</v>
          </cell>
          <cell r="B245" t="str">
            <v>LINFIS</v>
          </cell>
          <cell r="C245">
            <v>7909.5384615384619</v>
          </cell>
          <cell r="D245">
            <v>8978.1538461538457</v>
          </cell>
        </row>
        <row r="246">
          <cell r="A246">
            <v>152067</v>
          </cell>
          <cell r="B246" t="str">
            <v>TOMAS HNOS Y CIA SA</v>
          </cell>
          <cell r="C246">
            <v>834.66666666666663</v>
          </cell>
          <cell r="D246">
            <v>4239</v>
          </cell>
        </row>
        <row r="247">
          <cell r="A247">
            <v>152082</v>
          </cell>
          <cell r="B247" t="str">
            <v>EXFACO TESEI</v>
          </cell>
          <cell r="C247">
            <v>3722.6923076923081</v>
          </cell>
          <cell r="D247">
            <v>16220.92307692308</v>
          </cell>
        </row>
        <row r="248">
          <cell r="A248">
            <v>152178</v>
          </cell>
          <cell r="B248" t="str">
            <v>JORGE TRAVANI Y CIA.</v>
          </cell>
          <cell r="C248">
            <v>12290.69230769231</v>
          </cell>
          <cell r="D248">
            <v>34096.230769230773</v>
          </cell>
        </row>
        <row r="249">
          <cell r="A249">
            <v>152210</v>
          </cell>
          <cell r="B249" t="str">
            <v>URANIA DE ROSARIO ELENA SICA</v>
          </cell>
          <cell r="C249">
            <v>1092.7692307692309</v>
          </cell>
          <cell r="D249">
            <v>2522.0769230769229</v>
          </cell>
        </row>
        <row r="250">
          <cell r="A250">
            <v>152218</v>
          </cell>
          <cell r="B250" t="str">
            <v>JYF S.R.L. - BELGRANO</v>
          </cell>
          <cell r="C250">
            <v>17595.846153846149</v>
          </cell>
          <cell r="D250">
            <v>13314.384615384621</v>
          </cell>
        </row>
        <row r="251">
          <cell r="A251">
            <v>152224</v>
          </cell>
          <cell r="B251" t="str">
            <v>CORS TRELLES</v>
          </cell>
          <cell r="C251">
            <v>2299.2307692307691</v>
          </cell>
          <cell r="D251">
            <v>17036</v>
          </cell>
        </row>
        <row r="252">
          <cell r="A252">
            <v>152234</v>
          </cell>
          <cell r="B252" t="str">
            <v>PARQUE CONSTITUCION SRL (EX CORS PARQUE)</v>
          </cell>
          <cell r="C252">
            <v>4075.538461538461</v>
          </cell>
          <cell r="D252">
            <v>13627.384615384621</v>
          </cell>
        </row>
        <row r="253">
          <cell r="A253">
            <v>152236</v>
          </cell>
          <cell r="B253" t="str">
            <v>CORS CABILDO</v>
          </cell>
          <cell r="C253">
            <v>3302.9230769230771</v>
          </cell>
          <cell r="D253">
            <v>16621.692307692309</v>
          </cell>
        </row>
        <row r="254">
          <cell r="A254">
            <v>152238</v>
          </cell>
          <cell r="B254" t="str">
            <v>BERRIA ENERGIA S.A. - RUTA 3</v>
          </cell>
          <cell r="C254">
            <v>778.07692307692309</v>
          </cell>
          <cell r="D254">
            <v>5772</v>
          </cell>
        </row>
        <row r="255">
          <cell r="A255">
            <v>152251</v>
          </cell>
          <cell r="B255" t="str">
            <v>SERVICENTRO PILAR S.R.L.</v>
          </cell>
          <cell r="C255">
            <v>1480.153846153846</v>
          </cell>
          <cell r="D255">
            <v>5982.6923076923076</v>
          </cell>
        </row>
        <row r="256">
          <cell r="A256">
            <v>152254</v>
          </cell>
          <cell r="B256" t="str">
            <v>VENTURA ANTONIO - GRAL ROCA</v>
          </cell>
          <cell r="C256">
            <v>6349.4615384615381</v>
          </cell>
          <cell r="D256">
            <v>10869.30769230769</v>
          </cell>
        </row>
        <row r="257">
          <cell r="A257">
            <v>152257</v>
          </cell>
          <cell r="B257" t="str">
            <v>CORS EL CLUB</v>
          </cell>
          <cell r="C257">
            <v>941.84615384615381</v>
          </cell>
          <cell r="D257">
            <v>17455.692307692309</v>
          </cell>
        </row>
        <row r="258">
          <cell r="A258">
            <v>152259</v>
          </cell>
          <cell r="B258" t="str">
            <v>CORS GARAY</v>
          </cell>
          <cell r="C258">
            <v>4518.6153846153848</v>
          </cell>
          <cell r="D258">
            <v>30330.692307692309</v>
          </cell>
        </row>
        <row r="259">
          <cell r="A259">
            <v>152261</v>
          </cell>
          <cell r="B259" t="str">
            <v>CORS ANCHORENA</v>
          </cell>
          <cell r="C259">
            <v>3939.6153846153852</v>
          </cell>
          <cell r="D259">
            <v>22485.384615384621</v>
          </cell>
        </row>
        <row r="260">
          <cell r="A260">
            <v>152263</v>
          </cell>
          <cell r="B260" t="str">
            <v>CORS DEL TEJAR</v>
          </cell>
          <cell r="C260">
            <v>4074.8461538461538</v>
          </cell>
          <cell r="D260">
            <v>20998.692307692309</v>
          </cell>
        </row>
        <row r="261">
          <cell r="A261">
            <v>152267</v>
          </cell>
          <cell r="B261" t="str">
            <v>CORS FLORESTA</v>
          </cell>
          <cell r="C261">
            <v>2273.461538461539</v>
          </cell>
          <cell r="D261">
            <v>11463.07692307692</v>
          </cell>
        </row>
        <row r="262">
          <cell r="A262">
            <v>152269</v>
          </cell>
          <cell r="B262" t="str">
            <v>CORS LIBERTADOR</v>
          </cell>
          <cell r="C262">
            <v>2482.7692307692309</v>
          </cell>
          <cell r="D262">
            <v>21405.846153846149</v>
          </cell>
        </row>
        <row r="263">
          <cell r="A263">
            <v>152271</v>
          </cell>
          <cell r="B263" t="str">
            <v>CORS QUILMES</v>
          </cell>
          <cell r="C263">
            <v>2143.8461538461538</v>
          </cell>
          <cell r="D263">
            <v>14735.61538461539</v>
          </cell>
        </row>
        <row r="264">
          <cell r="A264">
            <v>152274</v>
          </cell>
          <cell r="B264" t="str">
            <v>CORS DIALOGOS</v>
          </cell>
          <cell r="C264">
            <v>3238.7692307692309</v>
          </cell>
          <cell r="D264">
            <v>22320.846153846149</v>
          </cell>
        </row>
        <row r="265">
          <cell r="A265">
            <v>152283</v>
          </cell>
          <cell r="B265" t="str">
            <v>CORS MAIPU</v>
          </cell>
          <cell r="C265">
            <v>2659.9230769230771</v>
          </cell>
          <cell r="D265">
            <v>13701.69230769231</v>
          </cell>
        </row>
        <row r="266">
          <cell r="A266">
            <v>152287</v>
          </cell>
          <cell r="B266" t="str">
            <v>CORS LA BANDERA</v>
          </cell>
          <cell r="C266">
            <v>6775.3076923076924</v>
          </cell>
          <cell r="D266">
            <v>25237.153846153851</v>
          </cell>
        </row>
        <row r="267">
          <cell r="A267">
            <v>152288</v>
          </cell>
          <cell r="B267" t="str">
            <v>CORS ALSINA</v>
          </cell>
          <cell r="C267">
            <v>4776.0769230769229</v>
          </cell>
          <cell r="D267">
            <v>29212.23076923077</v>
          </cell>
        </row>
        <row r="268">
          <cell r="A268">
            <v>152290</v>
          </cell>
          <cell r="B268" t="str">
            <v>CORS PARQUE SARMIENTO</v>
          </cell>
          <cell r="C268">
            <v>2843.3076923076919</v>
          </cell>
          <cell r="D268">
            <v>26488.538461538461</v>
          </cell>
        </row>
        <row r="269">
          <cell r="A269">
            <v>152292</v>
          </cell>
          <cell r="B269" t="str">
            <v>CORS SAN ISIDRO</v>
          </cell>
          <cell r="C269">
            <v>1288.7692307692309</v>
          </cell>
          <cell r="D269">
            <v>14777.846153846151</v>
          </cell>
        </row>
        <row r="270">
          <cell r="A270">
            <v>152302</v>
          </cell>
          <cell r="B270" t="str">
            <v>CORS SANTA FE</v>
          </cell>
          <cell r="C270">
            <v>9178.8461538461543</v>
          </cell>
          <cell r="D270">
            <v>27234.538461538461</v>
          </cell>
        </row>
        <row r="271">
          <cell r="A271">
            <v>152304</v>
          </cell>
          <cell r="B271" t="str">
            <v>CORS VILLA LURO</v>
          </cell>
          <cell r="C271">
            <v>2768.3076923076919</v>
          </cell>
          <cell r="D271">
            <v>22755</v>
          </cell>
        </row>
        <row r="272">
          <cell r="A272">
            <v>152306</v>
          </cell>
          <cell r="B272" t="str">
            <v>CORS LUIS VIALE</v>
          </cell>
          <cell r="C272">
            <v>2455.3846153846148</v>
          </cell>
          <cell r="D272">
            <v>14966.76923076923</v>
          </cell>
        </row>
        <row r="273">
          <cell r="A273">
            <v>152316</v>
          </cell>
          <cell r="B273" t="str">
            <v>CORS AMANECER</v>
          </cell>
          <cell r="C273">
            <v>2419.2307692307691</v>
          </cell>
          <cell r="D273">
            <v>25338</v>
          </cell>
        </row>
        <row r="274">
          <cell r="A274">
            <v>152320</v>
          </cell>
          <cell r="B274" t="str">
            <v>CORS FISHERTON</v>
          </cell>
          <cell r="C274">
            <v>9332.6153846153848</v>
          </cell>
          <cell r="D274">
            <v>30625.692307692309</v>
          </cell>
        </row>
        <row r="275">
          <cell r="A275">
            <v>152322</v>
          </cell>
          <cell r="B275" t="str">
            <v>PLAZA ITALIA  DIEGO HERNAN RODRIGUEZ</v>
          </cell>
          <cell r="C275">
            <v>4564.0769230769229</v>
          </cell>
          <cell r="D275">
            <v>7512.3076923076924</v>
          </cell>
        </row>
        <row r="276">
          <cell r="A276">
            <v>152324</v>
          </cell>
          <cell r="B276" t="str">
            <v>CORS CONGRESO</v>
          </cell>
          <cell r="C276">
            <v>3627.7692307692309</v>
          </cell>
          <cell r="D276">
            <v>27550</v>
          </cell>
        </row>
        <row r="277">
          <cell r="A277">
            <v>152326</v>
          </cell>
          <cell r="B277" t="str">
            <v>VICCINO AMALIA ENCARNAC. - LIMAY</v>
          </cell>
          <cell r="C277">
            <v>2001.153846153846</v>
          </cell>
          <cell r="D277">
            <v>10220.61538461539</v>
          </cell>
        </row>
        <row r="278">
          <cell r="A278">
            <v>152329</v>
          </cell>
          <cell r="B278" t="str">
            <v>VICCEL SRL</v>
          </cell>
          <cell r="C278">
            <v>8290</v>
          </cell>
          <cell r="D278">
            <v>19188.923076923082</v>
          </cell>
        </row>
        <row r="279">
          <cell r="A279">
            <v>152332</v>
          </cell>
          <cell r="B279" t="str">
            <v>CORS SANTA RITA</v>
          </cell>
          <cell r="C279">
            <v>1670.538461538461</v>
          </cell>
          <cell r="D279">
            <v>10147.30769230769</v>
          </cell>
        </row>
        <row r="280">
          <cell r="A280">
            <v>152334</v>
          </cell>
          <cell r="B280" t="str">
            <v>CORS ALBERDI</v>
          </cell>
          <cell r="C280">
            <v>2907.6923076923081</v>
          </cell>
          <cell r="D280">
            <v>16153.30769230769</v>
          </cell>
        </row>
        <row r="281">
          <cell r="A281">
            <v>152336</v>
          </cell>
          <cell r="B281" t="str">
            <v>CORS AMERICA</v>
          </cell>
          <cell r="C281">
            <v>2357.3076923076919</v>
          </cell>
          <cell r="D281">
            <v>20265.384615384621</v>
          </cell>
        </row>
        <row r="282">
          <cell r="A282">
            <v>152338</v>
          </cell>
          <cell r="B282" t="str">
            <v>EL UNICO S.A.</v>
          </cell>
          <cell r="C282">
            <v>2966.3076923076919</v>
          </cell>
          <cell r="D282">
            <v>21982.615384615379</v>
          </cell>
        </row>
        <row r="283">
          <cell r="A283">
            <v>152340</v>
          </cell>
          <cell r="B283" t="str">
            <v>CORS GRAL PAZ CAPITAL</v>
          </cell>
          <cell r="C283">
            <v>7687.6153846153848</v>
          </cell>
          <cell r="D283">
            <v>78511.923076923078</v>
          </cell>
        </row>
        <row r="284">
          <cell r="A284">
            <v>152342</v>
          </cell>
          <cell r="B284" t="str">
            <v>CORS GRAL PAZ PROVINCIA</v>
          </cell>
          <cell r="C284">
            <v>7209.4615384615381</v>
          </cell>
          <cell r="D284">
            <v>74218.692307692312</v>
          </cell>
        </row>
        <row r="285">
          <cell r="A285">
            <v>152344</v>
          </cell>
          <cell r="B285" t="str">
            <v>JISA S.A. - LIBERTAD RESISTENCIA</v>
          </cell>
          <cell r="C285">
            <v>14170.69230769231</v>
          </cell>
          <cell r="D285">
            <v>16954.846153846149</v>
          </cell>
        </row>
        <row r="286">
          <cell r="A286">
            <v>152347</v>
          </cell>
          <cell r="B286" t="str">
            <v>CORS BOULEVARD</v>
          </cell>
          <cell r="C286">
            <v>11392.846153846151</v>
          </cell>
          <cell r="D286">
            <v>27427.846153846149</v>
          </cell>
        </row>
        <row r="287">
          <cell r="A287">
            <v>152349</v>
          </cell>
          <cell r="B287" t="str">
            <v>CORS ALVEAR</v>
          </cell>
          <cell r="C287">
            <v>3025.9230769230771</v>
          </cell>
          <cell r="D287">
            <v>35417.846153846163</v>
          </cell>
        </row>
        <row r="288">
          <cell r="A288">
            <v>152351</v>
          </cell>
          <cell r="B288" t="str">
            <v>DT3 COMBUSTIBLES - FREYRE</v>
          </cell>
          <cell r="C288">
            <v>8382.3076923076915</v>
          </cell>
          <cell r="D288">
            <v>7923.7692307692314</v>
          </cell>
        </row>
        <row r="289">
          <cell r="A289">
            <v>152355</v>
          </cell>
          <cell r="B289" t="str">
            <v>CORS OVIDIO LAGOS</v>
          </cell>
          <cell r="C289">
            <v>3976.461538461539</v>
          </cell>
          <cell r="D289">
            <v>11783.23076923077</v>
          </cell>
        </row>
        <row r="290">
          <cell r="A290">
            <v>152361</v>
          </cell>
          <cell r="B290" t="str">
            <v>FENIX ENERGIA SRL</v>
          </cell>
          <cell r="C290">
            <v>921.55555555555554</v>
          </cell>
          <cell r="D290">
            <v>6855.2222222222226</v>
          </cell>
        </row>
        <row r="291">
          <cell r="A291">
            <v>152363</v>
          </cell>
          <cell r="B291" t="str">
            <v>CORS MITRE</v>
          </cell>
          <cell r="C291">
            <v>1812.9230769230769</v>
          </cell>
          <cell r="D291">
            <v>11136.461538461541</v>
          </cell>
        </row>
        <row r="292">
          <cell r="A292">
            <v>152365</v>
          </cell>
          <cell r="B292" t="str">
            <v>SERVICIOS ECHEVERRIA SRL</v>
          </cell>
          <cell r="C292">
            <v>1647.2</v>
          </cell>
          <cell r="D292">
            <v>7933.8</v>
          </cell>
        </row>
        <row r="293">
          <cell r="A293">
            <v>152369</v>
          </cell>
          <cell r="B293" t="str">
            <v>CORS ROSARIO SUR</v>
          </cell>
          <cell r="C293">
            <v>12602.30769230769</v>
          </cell>
          <cell r="D293">
            <v>25928.76923076923</v>
          </cell>
        </row>
        <row r="294">
          <cell r="A294">
            <v>152371</v>
          </cell>
          <cell r="B294" t="str">
            <v>LUBRICANTES Y COMBUSTIBLES DATRI SRL - CODO PACHECO</v>
          </cell>
          <cell r="C294">
            <v>3636.8461538461538</v>
          </cell>
          <cell r="D294">
            <v>20270.615384615379</v>
          </cell>
        </row>
        <row r="295">
          <cell r="A295">
            <v>152377</v>
          </cell>
          <cell r="B295" t="str">
            <v>CORS LAS HERAS</v>
          </cell>
          <cell r="C295">
            <v>4006</v>
          </cell>
          <cell r="D295">
            <v>18605.23076923077</v>
          </cell>
        </row>
        <row r="296">
          <cell r="A296">
            <v>152379</v>
          </cell>
          <cell r="B296" t="str">
            <v>CORS OLIVOS</v>
          </cell>
          <cell r="C296">
            <v>756.46153846153845</v>
          </cell>
          <cell r="D296">
            <v>5262.0769230769229</v>
          </cell>
        </row>
        <row r="297">
          <cell r="A297">
            <v>152383</v>
          </cell>
          <cell r="B297" t="str">
            <v>ENERGY CLEAN S.A.</v>
          </cell>
          <cell r="C297">
            <v>2231.9230769230771</v>
          </cell>
          <cell r="D297">
            <v>13708.846153846151</v>
          </cell>
        </row>
        <row r="298">
          <cell r="A298">
            <v>152385</v>
          </cell>
          <cell r="B298" t="str">
            <v>CORS LAFERRERE</v>
          </cell>
          <cell r="C298">
            <v>12223.461538461541</v>
          </cell>
          <cell r="D298">
            <v>49925.153846153837</v>
          </cell>
        </row>
        <row r="299">
          <cell r="A299">
            <v>152387</v>
          </cell>
          <cell r="B299" t="str">
            <v>SALINAS CHICO SA</v>
          </cell>
          <cell r="C299">
            <v>4380.3846153846152</v>
          </cell>
          <cell r="D299">
            <v>13654.61538461539</v>
          </cell>
        </row>
        <row r="300">
          <cell r="A300">
            <v>152396</v>
          </cell>
          <cell r="B300" t="str">
            <v>SERVICENTRO GALVEZ - JOSE HERMANOS S.R.L</v>
          </cell>
          <cell r="C300">
            <v>7981.5384615384619</v>
          </cell>
          <cell r="D300">
            <v>14623.30769230769</v>
          </cell>
        </row>
        <row r="301">
          <cell r="A301">
            <v>152404</v>
          </cell>
          <cell r="B301" t="str">
            <v>CORS LA CARMELA</v>
          </cell>
          <cell r="C301">
            <v>10562.07692307692</v>
          </cell>
          <cell r="D301">
            <v>42330.846153846163</v>
          </cell>
        </row>
        <row r="302">
          <cell r="A302">
            <v>152406</v>
          </cell>
          <cell r="B302" t="str">
            <v>CORS ZARATE</v>
          </cell>
          <cell r="C302">
            <v>3359.7692307692309</v>
          </cell>
          <cell r="D302">
            <v>21395.307692307691</v>
          </cell>
        </row>
        <row r="303">
          <cell r="A303">
            <v>152410</v>
          </cell>
          <cell r="B303" t="str">
            <v>DUNCUE SRL - DON TORCUATO</v>
          </cell>
          <cell r="C303">
            <v>1787.7692307692309</v>
          </cell>
          <cell r="D303">
            <v>12235.76923076923</v>
          </cell>
        </row>
        <row r="304">
          <cell r="A304">
            <v>152416</v>
          </cell>
          <cell r="B304" t="str">
            <v>CORS RIVADAVIA</v>
          </cell>
          <cell r="C304">
            <v>4493.3076923076924</v>
          </cell>
          <cell r="D304">
            <v>9566.1538461538457</v>
          </cell>
        </row>
        <row r="305">
          <cell r="A305">
            <v>152422</v>
          </cell>
          <cell r="B305" t="str">
            <v>CORS PILAR</v>
          </cell>
          <cell r="C305">
            <v>4853.5384615384619</v>
          </cell>
          <cell r="D305">
            <v>28879.76923076923</v>
          </cell>
        </row>
        <row r="306">
          <cell r="A306">
            <v>152424</v>
          </cell>
          <cell r="B306" t="str">
            <v>SALINAS CHICO MORENO</v>
          </cell>
          <cell r="C306">
            <v>3891.3333333333339</v>
          </cell>
          <cell r="D306">
            <v>10146</v>
          </cell>
        </row>
        <row r="307">
          <cell r="A307">
            <v>152430</v>
          </cell>
          <cell r="B307" t="str">
            <v>JISA S.A. - RESISTENCIA</v>
          </cell>
          <cell r="C307">
            <v>15624.92307692308</v>
          </cell>
          <cell r="D307">
            <v>17698.153846153851</v>
          </cell>
        </row>
        <row r="308">
          <cell r="A308">
            <v>152432</v>
          </cell>
          <cell r="B308" t="str">
            <v>CORS BONPLAND</v>
          </cell>
          <cell r="C308">
            <v>4546.3076923076924</v>
          </cell>
          <cell r="D308">
            <v>21391.384615384621</v>
          </cell>
        </row>
        <row r="309">
          <cell r="A309">
            <v>152434</v>
          </cell>
          <cell r="B309" t="str">
            <v>SALINAS CHICO JARA</v>
          </cell>
          <cell r="C309">
            <v>4644.416666666667</v>
          </cell>
          <cell r="D309">
            <v>10648.5</v>
          </cell>
        </row>
        <row r="310">
          <cell r="A310">
            <v>152436</v>
          </cell>
          <cell r="B310" t="str">
            <v>CORS GUTIERREZ</v>
          </cell>
          <cell r="C310">
            <v>4459.4615384615381</v>
          </cell>
          <cell r="D310">
            <v>23833.76923076923</v>
          </cell>
        </row>
        <row r="311">
          <cell r="A311">
            <v>152442</v>
          </cell>
          <cell r="B311" t="str">
            <v>CORS EL ARCO</v>
          </cell>
          <cell r="C311">
            <v>11218.846153846151</v>
          </cell>
          <cell r="D311">
            <v>38286.538461538461</v>
          </cell>
        </row>
        <row r="312">
          <cell r="A312">
            <v>152444</v>
          </cell>
          <cell r="B312" t="str">
            <v>CORS CENTENERA</v>
          </cell>
          <cell r="C312">
            <v>2750.538461538461</v>
          </cell>
          <cell r="D312">
            <v>12662.92307692308</v>
          </cell>
        </row>
        <row r="313">
          <cell r="A313">
            <v>152448</v>
          </cell>
          <cell r="B313" t="str">
            <v>TECNOLOGIA D ATRI</v>
          </cell>
          <cell r="C313">
            <v>1904.461538461539</v>
          </cell>
          <cell r="D313">
            <v>10048.153846153849</v>
          </cell>
        </row>
        <row r="314">
          <cell r="A314">
            <v>152452</v>
          </cell>
          <cell r="B314" t="str">
            <v>ESSO SERV RUTA 38-VESCIA ERNESTO</v>
          </cell>
          <cell r="C314">
            <v>9928.7692307692305</v>
          </cell>
          <cell r="D314">
            <v>8987.3846153846152</v>
          </cell>
        </row>
        <row r="315">
          <cell r="A315">
            <v>152532</v>
          </cell>
          <cell r="B315" t="str">
            <v>SERVICENTRO LAS TOSCAS- JUAN ALBERTO ZAMAR</v>
          </cell>
          <cell r="C315">
            <v>10070.30769230769</v>
          </cell>
          <cell r="D315">
            <v>5400.3846153846152</v>
          </cell>
        </row>
        <row r="316">
          <cell r="A316">
            <v>153514</v>
          </cell>
          <cell r="B316" t="str">
            <v>CHIQUI GARCIA SRL</v>
          </cell>
          <cell r="C316">
            <v>29211.23076923077</v>
          </cell>
          <cell r="D316">
            <v>32192.76923076923</v>
          </cell>
        </row>
        <row r="317">
          <cell r="A317">
            <v>154744</v>
          </cell>
          <cell r="B317" t="str">
            <v>BORTOLON Y URQUIZA COMBUSTIBLES SRL (RUTA)</v>
          </cell>
          <cell r="C317">
            <v>728.23076923076928</v>
          </cell>
          <cell r="D317">
            <v>6018.2307692307704</v>
          </cell>
        </row>
        <row r="318">
          <cell r="A318">
            <v>157198</v>
          </cell>
          <cell r="B318" t="str">
            <v>PROCOSUD SOCIEDAD ANONIMA</v>
          </cell>
          <cell r="C318">
            <v>1920.0769230769231</v>
          </cell>
          <cell r="D318">
            <v>11217.846153846151</v>
          </cell>
        </row>
        <row r="319">
          <cell r="A319">
            <v>157972</v>
          </cell>
          <cell r="B319" t="str">
            <v>POSTA DEL MERCOSUR S.R.L.</v>
          </cell>
          <cell r="C319">
            <v>1235.7692307692309</v>
          </cell>
          <cell r="D319">
            <v>4481.6923076923076</v>
          </cell>
        </row>
        <row r="320">
          <cell r="A320">
            <v>158466</v>
          </cell>
          <cell r="B320" t="str">
            <v>ESSA S.R.L.</v>
          </cell>
          <cell r="C320">
            <v>3713.6153846153852</v>
          </cell>
          <cell r="D320">
            <v>6311.3846153846152</v>
          </cell>
        </row>
        <row r="321">
          <cell r="A321">
            <v>158547</v>
          </cell>
          <cell r="B321" t="str">
            <v>LOPEZ RICARDO DAMIAN</v>
          </cell>
          <cell r="C321">
            <v>8182.0769230769229</v>
          </cell>
          <cell r="D321">
            <v>8149.4615384615381</v>
          </cell>
        </row>
        <row r="322">
          <cell r="A322">
            <v>159163</v>
          </cell>
          <cell r="B322" t="str">
            <v>GNC CICALV S.R.L. -CASTELAR</v>
          </cell>
          <cell r="C322">
            <v>5703.6153846153848</v>
          </cell>
          <cell r="D322">
            <v>12028.61538461539</v>
          </cell>
        </row>
        <row r="323">
          <cell r="A323">
            <v>159209</v>
          </cell>
          <cell r="B323" t="str">
            <v>TRANSFENOR SRL</v>
          </cell>
          <cell r="C323">
            <v>22759.307692307691</v>
          </cell>
          <cell r="D323">
            <v>19021.384615384621</v>
          </cell>
        </row>
        <row r="324">
          <cell r="A324">
            <v>159608</v>
          </cell>
          <cell r="B324" t="str">
            <v>ROMA COMBUSTIBLES SA (ALEM)</v>
          </cell>
          <cell r="C324">
            <v>12924.777777777779</v>
          </cell>
          <cell r="D324">
            <v>5392.2222222222226</v>
          </cell>
        </row>
        <row r="325">
          <cell r="A325">
            <v>161353</v>
          </cell>
          <cell r="B325" t="str">
            <v>CENTENARIO S.A.</v>
          </cell>
          <cell r="C325">
            <v>15189</v>
          </cell>
          <cell r="D325">
            <v>21519.153846153851</v>
          </cell>
        </row>
        <row r="326">
          <cell r="A326">
            <v>161664</v>
          </cell>
          <cell r="B326" t="str">
            <v>RUTA 36 S.R.L.</v>
          </cell>
          <cell r="C326">
            <v>3118.5</v>
          </cell>
          <cell r="D326">
            <v>5412.25</v>
          </cell>
        </row>
        <row r="327">
          <cell r="A327">
            <v>162161</v>
          </cell>
          <cell r="B327" t="str">
            <v>SERVI OESTE SA (JUAN B JUSTO)</v>
          </cell>
          <cell r="C327">
            <v>4730.4615384615381</v>
          </cell>
          <cell r="D327">
            <v>7266.8461538461543</v>
          </cell>
        </row>
        <row r="328">
          <cell r="A328">
            <v>164072</v>
          </cell>
          <cell r="B328" t="str">
            <v>RAFITA S.A. (TARIGO)</v>
          </cell>
          <cell r="C328">
            <v>1404.8888888888889</v>
          </cell>
          <cell r="D328">
            <v>2002</v>
          </cell>
        </row>
        <row r="329">
          <cell r="A329">
            <v>164414</v>
          </cell>
          <cell r="B329" t="str">
            <v>ALLI VAMOS SA - Jose C. PAZ</v>
          </cell>
          <cell r="C329">
            <v>4643.1538461538457</v>
          </cell>
          <cell r="D329">
            <v>19401</v>
          </cell>
        </row>
        <row r="330">
          <cell r="A330">
            <v>164471</v>
          </cell>
          <cell r="B330" t="str">
            <v>NUEVOS EMPRENDIMIENTOS SRL</v>
          </cell>
          <cell r="C330">
            <v>1381.416666666667</v>
          </cell>
          <cell r="D330">
            <v>8395.9166666666661</v>
          </cell>
        </row>
        <row r="331">
          <cell r="A331">
            <v>164983</v>
          </cell>
          <cell r="B331" t="str">
            <v>J.M.PONCE S.R.L. SUCESOR DE 215667</v>
          </cell>
          <cell r="C331">
            <v>4606.5384615384619</v>
          </cell>
          <cell r="D331">
            <v>8017.6923076923076</v>
          </cell>
        </row>
        <row r="332">
          <cell r="A332">
            <v>165047</v>
          </cell>
          <cell r="B332" t="str">
            <v>EL PUERTO COMBUSTIBLES S.A.</v>
          </cell>
          <cell r="C332">
            <v>4980.6923076923076</v>
          </cell>
          <cell r="D332">
            <v>9445.6153846153848</v>
          </cell>
        </row>
        <row r="333">
          <cell r="A333">
            <v>165418</v>
          </cell>
          <cell r="B333" t="str">
            <v>THEAGAS SA</v>
          </cell>
          <cell r="C333">
            <v>276.69230769230768</v>
          </cell>
          <cell r="D333">
            <v>5627.0769230769229</v>
          </cell>
        </row>
        <row r="334">
          <cell r="A334">
            <v>166350</v>
          </cell>
          <cell r="B334" t="str">
            <v>ESTACION DE SERVICIO GENERAL LAVALLE</v>
          </cell>
          <cell r="C334">
            <v>851.69230769230774</v>
          </cell>
          <cell r="D334">
            <v>10089.384615384621</v>
          </cell>
        </row>
        <row r="335">
          <cell r="A335">
            <v>166786</v>
          </cell>
          <cell r="B335" t="str">
            <v>VALLE DEL ZENTA S.A.</v>
          </cell>
          <cell r="C335">
            <v>46161.307692307702</v>
          </cell>
          <cell r="D335">
            <v>12873.61538461539</v>
          </cell>
        </row>
        <row r="336">
          <cell r="A336">
            <v>166817</v>
          </cell>
          <cell r="B336" t="str">
            <v>GNC FERRARI S.R.L. - CENTRO</v>
          </cell>
          <cell r="C336">
            <v>5965.7692307692314</v>
          </cell>
          <cell r="D336">
            <v>14139.61538461539</v>
          </cell>
        </row>
        <row r="337">
          <cell r="A337">
            <v>166835</v>
          </cell>
          <cell r="B337" t="str">
            <v>JYF S.R.L.</v>
          </cell>
          <cell r="C337">
            <v>16243.69230769231</v>
          </cell>
          <cell r="D337">
            <v>7564.9230769230771</v>
          </cell>
        </row>
        <row r="338">
          <cell r="A338">
            <v>166838</v>
          </cell>
          <cell r="B338" t="str">
            <v>ENCUENTRO GNC SRL</v>
          </cell>
          <cell r="C338">
            <v>7037.666666666667</v>
          </cell>
          <cell r="D338">
            <v>12644.66666666667</v>
          </cell>
        </row>
        <row r="339">
          <cell r="A339">
            <v>166851</v>
          </cell>
          <cell r="B339" t="str">
            <v>NTI 2013 - Full Petrol - La Argentina</v>
          </cell>
          <cell r="C339">
            <v>11988.92307692308</v>
          </cell>
          <cell r="D339">
            <v>8736.9230769230762</v>
          </cell>
        </row>
        <row r="340">
          <cell r="A340">
            <v>166884</v>
          </cell>
          <cell r="B340" t="str">
            <v>ORTIZ RAMON AGUSTIN</v>
          </cell>
          <cell r="C340">
            <v>34431.615384615383</v>
          </cell>
          <cell r="D340">
            <v>25239.153846153851</v>
          </cell>
        </row>
        <row r="341">
          <cell r="A341">
            <v>166927</v>
          </cell>
          <cell r="B341" t="str">
            <v>MANSUE S.A. - PILAR</v>
          </cell>
          <cell r="C341">
            <v>2982.538461538461</v>
          </cell>
          <cell r="D341">
            <v>24469.923076923082</v>
          </cell>
        </row>
        <row r="342">
          <cell r="A342">
            <v>166931</v>
          </cell>
          <cell r="B342" t="str">
            <v>UMPY S.R.L.</v>
          </cell>
          <cell r="C342">
            <v>8614.538461538461</v>
          </cell>
          <cell r="D342">
            <v>19746.461538461539</v>
          </cell>
        </row>
        <row r="343">
          <cell r="A343">
            <v>166943</v>
          </cell>
          <cell r="B343" t="str">
            <v>NTI 2013 - PERILLI HNOS SRL</v>
          </cell>
          <cell r="C343">
            <v>501</v>
          </cell>
          <cell r="D343">
            <v>779</v>
          </cell>
        </row>
        <row r="344">
          <cell r="A344">
            <v>166978</v>
          </cell>
          <cell r="B344" t="str">
            <v>BAX S A.</v>
          </cell>
          <cell r="C344">
            <v>2646.3076923076919</v>
          </cell>
          <cell r="D344">
            <v>11238.538461538459</v>
          </cell>
        </row>
        <row r="345">
          <cell r="A345">
            <v>166982</v>
          </cell>
          <cell r="B345" t="str">
            <v>NTI 2013 - CORGAS Guiñazu</v>
          </cell>
          <cell r="C345">
            <v>0</v>
          </cell>
          <cell r="D345">
            <v>6.5</v>
          </cell>
        </row>
        <row r="346">
          <cell r="A346">
            <v>166987</v>
          </cell>
          <cell r="B346" t="str">
            <v>LUBRICOM S.R.L.</v>
          </cell>
          <cell r="C346">
            <v>26917.384615384621</v>
          </cell>
          <cell r="D346">
            <v>25399.23076923077</v>
          </cell>
        </row>
        <row r="347">
          <cell r="A347">
            <v>166991</v>
          </cell>
          <cell r="B347" t="str">
            <v>NTI 2017 - LATSER</v>
          </cell>
          <cell r="C347">
            <v>15808</v>
          </cell>
          <cell r="D347">
            <v>13483.25</v>
          </cell>
        </row>
        <row r="348">
          <cell r="A348">
            <v>166996</v>
          </cell>
          <cell r="B348" t="str">
            <v>SERVICENTRO DE FACUNDO - COCEMAR S.R.L.</v>
          </cell>
          <cell r="C348">
            <v>7810.9230769230771</v>
          </cell>
          <cell r="D348">
            <v>15449.76923076923</v>
          </cell>
        </row>
        <row r="349">
          <cell r="A349">
            <v>166999</v>
          </cell>
          <cell r="B349" t="str">
            <v>PETROLIDER S R L</v>
          </cell>
          <cell r="C349">
            <v>33947.230769230773</v>
          </cell>
          <cell r="D349">
            <v>16189</v>
          </cell>
        </row>
        <row r="350">
          <cell r="A350">
            <v>167016</v>
          </cell>
          <cell r="B350" t="str">
            <v>SERVICIOS BENAVIDEZ S.A.</v>
          </cell>
          <cell r="C350">
            <v>2151.1538461538462</v>
          </cell>
          <cell r="D350">
            <v>10487.92307692308</v>
          </cell>
        </row>
        <row r="351">
          <cell r="A351">
            <v>167017</v>
          </cell>
          <cell r="B351" t="str">
            <v>GIANELLO GNC</v>
          </cell>
          <cell r="C351">
            <v>2750.2307692307691</v>
          </cell>
          <cell r="D351">
            <v>3171</v>
          </cell>
        </row>
        <row r="352">
          <cell r="A352">
            <v>167020</v>
          </cell>
          <cell r="B352" t="str">
            <v>LOS OLIVOS GAS S.A.</v>
          </cell>
          <cell r="C352">
            <v>1236.153846153846</v>
          </cell>
          <cell r="D352">
            <v>6232.9230769230771</v>
          </cell>
        </row>
        <row r="353">
          <cell r="A353">
            <v>167026</v>
          </cell>
          <cell r="B353" t="str">
            <v>BENZIN S.R.L.</v>
          </cell>
          <cell r="C353">
            <v>3924</v>
          </cell>
          <cell r="D353">
            <v>9037.1538461538457</v>
          </cell>
        </row>
        <row r="354">
          <cell r="A354">
            <v>167031</v>
          </cell>
          <cell r="B354" t="str">
            <v>DUFAU HNOS DOS</v>
          </cell>
          <cell r="C354">
            <v>9453.9230769230762</v>
          </cell>
          <cell r="D354">
            <v>29125.384615384621</v>
          </cell>
        </row>
        <row r="355">
          <cell r="A355">
            <v>167032</v>
          </cell>
          <cell r="B355" t="str">
            <v>LOS QUIMBALETES GNC S.R.L.</v>
          </cell>
          <cell r="C355">
            <v>4015.6923076923081</v>
          </cell>
          <cell r="D355">
            <v>8571.3076923076915</v>
          </cell>
        </row>
        <row r="356">
          <cell r="A356">
            <v>167033</v>
          </cell>
          <cell r="B356" t="str">
            <v>COMBUSTIBLES BARRANCAS SRL</v>
          </cell>
          <cell r="C356">
            <v>4472.6923076923076</v>
          </cell>
          <cell r="D356">
            <v>7336.5384615384619</v>
          </cell>
        </row>
        <row r="357">
          <cell r="A357">
            <v>167036</v>
          </cell>
          <cell r="B357" t="str">
            <v>GASCOM SOCIEDAD ANONIMA</v>
          </cell>
          <cell r="C357">
            <v>10858.07692307692</v>
          </cell>
          <cell r="D357">
            <v>17806.76923076923</v>
          </cell>
        </row>
        <row r="358">
          <cell r="A358">
            <v>167038</v>
          </cell>
          <cell r="B358" t="str">
            <v>SINERCOM S.R.L.</v>
          </cell>
          <cell r="C358">
            <v>5421.4615384615381</v>
          </cell>
          <cell r="D358">
            <v>9601.9230769230762</v>
          </cell>
        </row>
        <row r="359">
          <cell r="A359">
            <v>167039</v>
          </cell>
          <cell r="B359" t="str">
            <v>GNC MERLO NORTE S.R.L.</v>
          </cell>
          <cell r="C359">
            <v>6167.1538461538457</v>
          </cell>
          <cell r="D359">
            <v>11264.30769230769</v>
          </cell>
        </row>
        <row r="360">
          <cell r="A360">
            <v>167041</v>
          </cell>
          <cell r="B360" t="str">
            <v>LANZONI Y ROSSI</v>
          </cell>
          <cell r="C360">
            <v>6214.8461538461543</v>
          </cell>
          <cell r="D360">
            <v>13210.153846153849</v>
          </cell>
        </row>
        <row r="361">
          <cell r="A361">
            <v>167043</v>
          </cell>
          <cell r="B361" t="str">
            <v>ELISEI NORBERTO Y ELISEI SERGIO</v>
          </cell>
          <cell r="C361">
            <v>6248.7692307692314</v>
          </cell>
          <cell r="D361">
            <v>8637.461538461539</v>
          </cell>
        </row>
        <row r="362">
          <cell r="A362">
            <v>167046</v>
          </cell>
          <cell r="B362" t="str">
            <v>SENA - 11 DE SEPTIEMBRE</v>
          </cell>
          <cell r="C362">
            <v>8791.1538461538457</v>
          </cell>
          <cell r="D362">
            <v>7342.5384615384619</v>
          </cell>
        </row>
        <row r="363">
          <cell r="A363">
            <v>167047</v>
          </cell>
          <cell r="B363" t="str">
            <v>SENA HUMBERTO FABRICIO (MALAGUEÑO)</v>
          </cell>
          <cell r="C363">
            <v>7866.6153846153848</v>
          </cell>
          <cell r="D363">
            <v>8725.6923076923085</v>
          </cell>
        </row>
        <row r="364">
          <cell r="A364">
            <v>167056</v>
          </cell>
          <cell r="B364" t="str">
            <v>GAS FE S.R.L.</v>
          </cell>
          <cell r="C364">
            <v>8312.3076923076915</v>
          </cell>
          <cell r="D364">
            <v>16154.538461538459</v>
          </cell>
        </row>
        <row r="365">
          <cell r="A365">
            <v>167069</v>
          </cell>
          <cell r="B365" t="str">
            <v>C Y W COMBUSTIBLES SRL</v>
          </cell>
          <cell r="C365">
            <v>19382.538461538461</v>
          </cell>
          <cell r="D365">
            <v>21549.307692307691</v>
          </cell>
        </row>
        <row r="366">
          <cell r="A366">
            <v>167082</v>
          </cell>
          <cell r="B366" t="str">
            <v>PINAMOTOS SRL</v>
          </cell>
          <cell r="C366">
            <v>1644.9230769230769</v>
          </cell>
          <cell r="D366">
            <v>12563.07692307692</v>
          </cell>
        </row>
        <row r="367">
          <cell r="A367">
            <v>167105</v>
          </cell>
          <cell r="B367" t="str">
            <v>GONZALEZ JOSE ROBERTO -RIVADAVIA</v>
          </cell>
          <cell r="C367">
            <v>1459.9230769230769</v>
          </cell>
          <cell r="D367">
            <v>7814.3076923076924</v>
          </cell>
        </row>
        <row r="368">
          <cell r="A368">
            <v>167118</v>
          </cell>
          <cell r="B368" t="str">
            <v>ALT ALBERTO R. Y ALT HECTOR J. SH</v>
          </cell>
          <cell r="C368">
            <v>4907</v>
          </cell>
          <cell r="D368">
            <v>7377.4615384615381</v>
          </cell>
        </row>
        <row r="369">
          <cell r="A369">
            <v>167119</v>
          </cell>
          <cell r="B369" t="str">
            <v>ALT ALBERTO R. Y ALT HECTOR J. SH (ROSSI)</v>
          </cell>
          <cell r="C369">
            <v>9977.6153846153848</v>
          </cell>
          <cell r="D369">
            <v>7140.6153846153848</v>
          </cell>
        </row>
        <row r="370">
          <cell r="A370">
            <v>167123</v>
          </cell>
          <cell r="B370" t="str">
            <v>MATTEAZZI OYHENART CLAUDIA ROSANA</v>
          </cell>
          <cell r="C370">
            <v>681.46153846153845</v>
          </cell>
          <cell r="D370">
            <v>9908.6923076923085</v>
          </cell>
        </row>
        <row r="371">
          <cell r="A371">
            <v>167129</v>
          </cell>
          <cell r="B371" t="str">
            <v>GONZALEZ JOSE ROBERTO</v>
          </cell>
          <cell r="C371">
            <v>4477</v>
          </cell>
          <cell r="D371">
            <v>7400.2307692307704</v>
          </cell>
        </row>
        <row r="372">
          <cell r="A372">
            <v>167147</v>
          </cell>
          <cell r="B372" t="str">
            <v>BACIK JORGE Y PADUA JORGE</v>
          </cell>
          <cell r="C372">
            <v>7156.4615384615381</v>
          </cell>
          <cell r="D372">
            <v>14742.76923076923</v>
          </cell>
        </row>
        <row r="373">
          <cell r="A373">
            <v>167154</v>
          </cell>
          <cell r="B373" t="str">
            <v>G N C SAN MIGUEL SRL</v>
          </cell>
          <cell r="C373">
            <v>4979.3846153846152</v>
          </cell>
          <cell r="D373">
            <v>36064.230769230773</v>
          </cell>
        </row>
        <row r="374">
          <cell r="A374">
            <v>167156</v>
          </cell>
          <cell r="B374" t="str">
            <v>ARENAS DEL PARANA S.A.</v>
          </cell>
          <cell r="C374">
            <v>12524.846153846151</v>
          </cell>
          <cell r="D374">
            <v>7691.8461538461543</v>
          </cell>
        </row>
        <row r="375">
          <cell r="A375">
            <v>167157</v>
          </cell>
          <cell r="B375" t="str">
            <v>LABANDOCZKA SILVIA MARIANA</v>
          </cell>
          <cell r="C375">
            <v>5044</v>
          </cell>
          <cell r="D375">
            <v>16142.384615384621</v>
          </cell>
        </row>
        <row r="376">
          <cell r="A376">
            <v>167158</v>
          </cell>
          <cell r="B376" t="str">
            <v>SENA HUMBERTO FABRICIO (BORDEREAU)</v>
          </cell>
          <cell r="C376">
            <v>10053.846153846151</v>
          </cell>
          <cell r="D376">
            <v>10860.07692307692</v>
          </cell>
        </row>
        <row r="377">
          <cell r="A377">
            <v>167160</v>
          </cell>
          <cell r="B377" t="str">
            <v>F.O.D.A. S.R.L.</v>
          </cell>
          <cell r="C377">
            <v>4619.5555555555557</v>
          </cell>
          <cell r="D377">
            <v>4093.666666666667</v>
          </cell>
        </row>
        <row r="378">
          <cell r="A378">
            <v>167161</v>
          </cell>
          <cell r="B378" t="str">
            <v>EMFACO GNECCO - PASO DEL REY</v>
          </cell>
          <cell r="C378">
            <v>5035.4615384615381</v>
          </cell>
          <cell r="D378">
            <v>16003.92307692308</v>
          </cell>
        </row>
        <row r="379">
          <cell r="A379">
            <v>167162</v>
          </cell>
          <cell r="B379" t="str">
            <v>PETRO ITATI S.A.</v>
          </cell>
          <cell r="C379">
            <v>16326.92307692308</v>
          </cell>
          <cell r="D379">
            <v>17517.076923076918</v>
          </cell>
        </row>
        <row r="380">
          <cell r="A380">
            <v>167164</v>
          </cell>
          <cell r="B380" t="str">
            <v>SBARBATI FELICE Y MAGNO S.A.</v>
          </cell>
          <cell r="C380">
            <v>1868.0769230769231</v>
          </cell>
          <cell r="D380">
            <v>9911.7692307692305</v>
          </cell>
        </row>
        <row r="381">
          <cell r="A381">
            <v>167171</v>
          </cell>
          <cell r="B381" t="str">
            <v>NTI 2014 - 7 y 511 S.A (Ringuelet)</v>
          </cell>
          <cell r="C381">
            <v>6604.3846153846152</v>
          </cell>
          <cell r="D381">
            <v>14952.846153846151</v>
          </cell>
        </row>
        <row r="382">
          <cell r="A382">
            <v>167172</v>
          </cell>
          <cell r="B382" t="str">
            <v>COREY SOCIEDAD ANONIMA</v>
          </cell>
          <cell r="C382">
            <v>8398.9230769230762</v>
          </cell>
          <cell r="D382">
            <v>22465.692307692309</v>
          </cell>
        </row>
        <row r="383">
          <cell r="A383">
            <v>167174</v>
          </cell>
          <cell r="B383" t="str">
            <v>GNC HAEDO JET S.A.</v>
          </cell>
          <cell r="C383">
            <v>1341.846153846154</v>
          </cell>
          <cell r="D383">
            <v>4848.7692307692314</v>
          </cell>
        </row>
        <row r="384">
          <cell r="A384">
            <v>167187</v>
          </cell>
          <cell r="B384" t="str">
            <v>MANILA S.R.L.</v>
          </cell>
          <cell r="C384">
            <v>9730.461538461539</v>
          </cell>
          <cell r="D384">
            <v>8483.8461538461543</v>
          </cell>
        </row>
        <row r="385">
          <cell r="A385">
            <v>167189</v>
          </cell>
          <cell r="B385" t="str">
            <v>COSTACOM S.A.</v>
          </cell>
          <cell r="C385">
            <v>3694.1538461538462</v>
          </cell>
          <cell r="D385">
            <v>17959.76923076923</v>
          </cell>
        </row>
        <row r="386">
          <cell r="A386">
            <v>167190</v>
          </cell>
          <cell r="B386" t="str">
            <v>MANSUE S.A.</v>
          </cell>
          <cell r="C386">
            <v>3466.9230769230771</v>
          </cell>
          <cell r="D386">
            <v>13021.69230769231</v>
          </cell>
        </row>
        <row r="387">
          <cell r="A387">
            <v>167192</v>
          </cell>
          <cell r="B387" t="str">
            <v>SANTA RITA COMBUSTIBLES S.A.</v>
          </cell>
          <cell r="C387">
            <v>14932.538461538459</v>
          </cell>
          <cell r="D387">
            <v>5390.4615384615381</v>
          </cell>
        </row>
        <row r="388">
          <cell r="A388">
            <v>167195</v>
          </cell>
          <cell r="B388" t="str">
            <v>OESTE GNC S.A.</v>
          </cell>
          <cell r="C388">
            <v>2533.2307692307691</v>
          </cell>
          <cell r="D388">
            <v>11502.30769230769</v>
          </cell>
        </row>
        <row r="389">
          <cell r="A389">
            <v>167196</v>
          </cell>
          <cell r="B389" t="str">
            <v>GENEPLUS S.R.L.</v>
          </cell>
          <cell r="C389">
            <v>5554.0769230769229</v>
          </cell>
          <cell r="D389">
            <v>16218.846153846151</v>
          </cell>
        </row>
        <row r="390">
          <cell r="A390">
            <v>167213</v>
          </cell>
          <cell r="B390" t="str">
            <v>COMBUSTIBLES SERRANOS S.A. (ESPAÑA)</v>
          </cell>
          <cell r="C390">
            <v>6939.8461538461543</v>
          </cell>
          <cell r="D390">
            <v>7892.1538461538457</v>
          </cell>
        </row>
        <row r="391">
          <cell r="A391">
            <v>167215</v>
          </cell>
          <cell r="B391" t="str">
            <v>GNC MERLO SRL</v>
          </cell>
          <cell r="C391">
            <v>4356.2307692307704</v>
          </cell>
          <cell r="D391">
            <v>15663.23076923077</v>
          </cell>
        </row>
        <row r="392">
          <cell r="A392">
            <v>167216</v>
          </cell>
          <cell r="B392" t="str">
            <v>ESTANCIA GRANDE SRL</v>
          </cell>
          <cell r="C392">
            <v>1185.3076923076919</v>
          </cell>
          <cell r="D392">
            <v>11937.384615384621</v>
          </cell>
        </row>
        <row r="393">
          <cell r="A393">
            <v>167220</v>
          </cell>
          <cell r="B393" t="str">
            <v>NTI 2017 - MIG MAR VIDAL S.A.</v>
          </cell>
          <cell r="C393">
            <v>2191.2307692307691</v>
          </cell>
          <cell r="D393">
            <v>8307</v>
          </cell>
        </row>
        <row r="394">
          <cell r="A394">
            <v>167227</v>
          </cell>
          <cell r="B394" t="str">
            <v>DALMASSO PATRICIA LORENA</v>
          </cell>
          <cell r="C394">
            <v>26829.923076923082</v>
          </cell>
          <cell r="D394">
            <v>6378.8461538461543</v>
          </cell>
        </row>
        <row r="395">
          <cell r="A395">
            <v>167228</v>
          </cell>
          <cell r="B395" t="str">
            <v>ATREU-CO COOPERATIVA AGROPECUARIA</v>
          </cell>
          <cell r="C395">
            <v>1022.615384615385</v>
          </cell>
          <cell r="D395">
            <v>8369.3846153846152</v>
          </cell>
        </row>
        <row r="396">
          <cell r="A396">
            <v>167234</v>
          </cell>
          <cell r="B396" t="str">
            <v>YAPAI S.R.L.- PIEDRITAS</v>
          </cell>
          <cell r="C396">
            <v>626.76923076923072</v>
          </cell>
          <cell r="D396">
            <v>7624.8461538461543</v>
          </cell>
        </row>
        <row r="397">
          <cell r="A397">
            <v>167243</v>
          </cell>
          <cell r="B397" t="str">
            <v>ORTFRE SRL</v>
          </cell>
          <cell r="C397">
            <v>2455.5</v>
          </cell>
          <cell r="D397">
            <v>22860.5</v>
          </cell>
        </row>
        <row r="398">
          <cell r="A398">
            <v>167288</v>
          </cell>
          <cell r="B398" t="str">
            <v>AXION TAPIALES- SERVICIOS LER</v>
          </cell>
          <cell r="C398">
            <v>2985.6923076923081</v>
          </cell>
          <cell r="D398">
            <v>16164</v>
          </cell>
        </row>
        <row r="399">
          <cell r="A399">
            <v>167326</v>
          </cell>
          <cell r="B399" t="str">
            <v>CEPIA S.A.</v>
          </cell>
          <cell r="C399">
            <v>10900.846153846151</v>
          </cell>
          <cell r="D399">
            <v>33125</v>
          </cell>
        </row>
        <row r="400">
          <cell r="A400">
            <v>167327</v>
          </cell>
          <cell r="B400" t="str">
            <v>ESTACION RUTA 1422 S.R.L</v>
          </cell>
          <cell r="C400">
            <v>1691</v>
          </cell>
          <cell r="D400">
            <v>7647.6923076923076</v>
          </cell>
        </row>
        <row r="401">
          <cell r="A401">
            <v>167336</v>
          </cell>
          <cell r="B401" t="str">
            <v>SEFAC PEHUAJO S.A.</v>
          </cell>
          <cell r="C401">
            <v>6510.9230769230771</v>
          </cell>
          <cell r="D401">
            <v>5576.3076923076924</v>
          </cell>
        </row>
        <row r="402">
          <cell r="A402">
            <v>167337</v>
          </cell>
          <cell r="B402" t="str">
            <v>NTI 2019 - ALT (rotonda)</v>
          </cell>
          <cell r="C402">
            <v>6112</v>
          </cell>
          <cell r="D402">
            <v>21258.615384615379</v>
          </cell>
        </row>
        <row r="403">
          <cell r="A403">
            <v>167349</v>
          </cell>
          <cell r="B403" t="str">
            <v>TEXA PETROL S.A.</v>
          </cell>
          <cell r="C403">
            <v>7366.727272727273</v>
          </cell>
          <cell r="D403">
            <v>19040.36363636364</v>
          </cell>
        </row>
        <row r="404">
          <cell r="A404">
            <v>167351</v>
          </cell>
          <cell r="B404" t="str">
            <v>GNC CICALV S.R.L.</v>
          </cell>
          <cell r="C404">
            <v>1990.846153846154</v>
          </cell>
          <cell r="D404">
            <v>6153.6923076923076</v>
          </cell>
        </row>
        <row r="405">
          <cell r="A405">
            <v>167361</v>
          </cell>
          <cell r="B405" t="str">
            <v>LA RUTA S.A.</v>
          </cell>
          <cell r="C405">
            <v>25473</v>
          </cell>
          <cell r="D405">
            <v>17314</v>
          </cell>
        </row>
        <row r="406">
          <cell r="A406">
            <v>167362</v>
          </cell>
          <cell r="B406" t="str">
            <v>GNC FERRARI SRL (BALBIN)</v>
          </cell>
          <cell r="C406">
            <v>8673.2307692307695</v>
          </cell>
          <cell r="D406">
            <v>13593.30769230769</v>
          </cell>
        </row>
        <row r="407">
          <cell r="A407">
            <v>167369</v>
          </cell>
          <cell r="B407" t="str">
            <v>LA BARRANCA S.R.L.</v>
          </cell>
          <cell r="C407">
            <v>5450.0769230769229</v>
          </cell>
          <cell r="D407">
            <v>9830.8461538461543</v>
          </cell>
        </row>
        <row r="408">
          <cell r="A408">
            <v>167370</v>
          </cell>
          <cell r="B408" t="str">
            <v>72 GAS S.A.</v>
          </cell>
          <cell r="C408">
            <v>5462.1538461538457</v>
          </cell>
          <cell r="D408">
            <v>14453.61538461539</v>
          </cell>
        </row>
        <row r="409">
          <cell r="A409">
            <v>167385</v>
          </cell>
          <cell r="B409" t="str">
            <v>SCHOLLES OMAR ALBERTO (RUTA 13)</v>
          </cell>
          <cell r="C409">
            <v>3400.9230769230771</v>
          </cell>
          <cell r="D409">
            <v>12948.30769230769</v>
          </cell>
        </row>
        <row r="410">
          <cell r="A410">
            <v>167388</v>
          </cell>
          <cell r="B410" t="str">
            <v>ALCOR SERVICE SA</v>
          </cell>
          <cell r="C410">
            <v>4187.7692307692314</v>
          </cell>
          <cell r="D410">
            <v>15397.846153846151</v>
          </cell>
        </row>
        <row r="411">
          <cell r="A411">
            <v>167389</v>
          </cell>
          <cell r="B411" t="str">
            <v>WINE GAS S.A.</v>
          </cell>
          <cell r="C411">
            <v>6854.7692307692314</v>
          </cell>
          <cell r="D411">
            <v>28254.307692307691</v>
          </cell>
        </row>
        <row r="412">
          <cell r="A412">
            <v>167394</v>
          </cell>
          <cell r="B412" t="str">
            <v>OBREGON ROBERTO ANIBAL - EL YACARAE</v>
          </cell>
          <cell r="C412">
            <v>8947.1538461538457</v>
          </cell>
          <cell r="D412">
            <v>13206.384615384621</v>
          </cell>
        </row>
        <row r="413">
          <cell r="A413">
            <v>167395</v>
          </cell>
          <cell r="B413" t="str">
            <v>NTI 2017 - ENERTRAC</v>
          </cell>
          <cell r="C413">
            <v>7942.0769230769229</v>
          </cell>
          <cell r="D413">
            <v>14000.69230769231</v>
          </cell>
        </row>
        <row r="414">
          <cell r="A414">
            <v>167398</v>
          </cell>
          <cell r="B414" t="str">
            <v>NTI 2015 - COMBUSTIBLES ALTERNATIVOS SA</v>
          </cell>
          <cell r="C414">
            <v>5222.9230769230771</v>
          </cell>
          <cell r="D414">
            <v>12673.538461538459</v>
          </cell>
        </row>
        <row r="415">
          <cell r="A415">
            <v>167402</v>
          </cell>
          <cell r="B415" t="str">
            <v>LAS LOMAS S.R.L.</v>
          </cell>
          <cell r="C415">
            <v>6064.6153846153848</v>
          </cell>
          <cell r="D415">
            <v>21709.692307692309</v>
          </cell>
        </row>
        <row r="416">
          <cell r="A416">
            <v>167406</v>
          </cell>
          <cell r="B416" t="str">
            <v>GRUPO L.V. S.R.L.</v>
          </cell>
          <cell r="C416">
            <v>14205.76923076923</v>
          </cell>
          <cell r="D416">
            <v>24315</v>
          </cell>
        </row>
        <row r="417">
          <cell r="A417">
            <v>167407</v>
          </cell>
          <cell r="B417" t="str">
            <v>DON ADOLFO - RIVARA S.A.</v>
          </cell>
          <cell r="C417">
            <v>536</v>
          </cell>
          <cell r="D417">
            <v>6160.1538461538457</v>
          </cell>
        </row>
        <row r="418">
          <cell r="A418">
            <v>167410</v>
          </cell>
          <cell r="B418" t="str">
            <v>LIMA MARIA ELENA (YACARE II)</v>
          </cell>
          <cell r="C418">
            <v>25658.538461538461</v>
          </cell>
          <cell r="D418">
            <v>17025.384615384621</v>
          </cell>
        </row>
        <row r="419">
          <cell r="A419">
            <v>167411</v>
          </cell>
          <cell r="B419" t="str">
            <v>AG. GAN S.R.L.</v>
          </cell>
          <cell r="C419">
            <v>30232.538461538461</v>
          </cell>
          <cell r="D419">
            <v>15571.384615384621</v>
          </cell>
        </row>
        <row r="420">
          <cell r="A420">
            <v>167412</v>
          </cell>
          <cell r="B420" t="str">
            <v>NTI 2016 - EL RINCON DE PIEDRA DEL AGUILA SRL</v>
          </cell>
          <cell r="C420">
            <v>937.75</v>
          </cell>
          <cell r="D420">
            <v>8033.25</v>
          </cell>
        </row>
        <row r="421">
          <cell r="A421">
            <v>167414</v>
          </cell>
          <cell r="B421" t="str">
            <v>NTI 2016 - ECONOMIC FUEL SRL</v>
          </cell>
          <cell r="C421">
            <v>2286.538461538461</v>
          </cell>
          <cell r="D421">
            <v>7024.5384615384619</v>
          </cell>
        </row>
        <row r="422">
          <cell r="A422">
            <v>167419</v>
          </cell>
          <cell r="B422" t="str">
            <v>GNC DEL CARMEN S.A.</v>
          </cell>
          <cell r="C422">
            <v>796.38461538461536</v>
          </cell>
          <cell r="D422">
            <v>5373.6923076923076</v>
          </cell>
        </row>
        <row r="423">
          <cell r="A423">
            <v>167424</v>
          </cell>
          <cell r="B423" t="str">
            <v>AGROCOMB S.A.</v>
          </cell>
          <cell r="C423">
            <v>508.46153846153851</v>
          </cell>
          <cell r="D423">
            <v>5134.7692307692314</v>
          </cell>
        </row>
        <row r="424">
          <cell r="A424">
            <v>167433</v>
          </cell>
          <cell r="B424" t="str">
            <v>AMBROSETTO SANDRA RAQUEL</v>
          </cell>
          <cell r="C424">
            <v>14.61538461538462</v>
          </cell>
          <cell r="D424">
            <v>982.38461538461536</v>
          </cell>
        </row>
        <row r="425">
          <cell r="A425">
            <v>167439</v>
          </cell>
          <cell r="B425" t="str">
            <v>ESA 2000 S.A.</v>
          </cell>
          <cell r="C425">
            <v>11800.384615384621</v>
          </cell>
          <cell r="D425">
            <v>14805.76923076923</v>
          </cell>
        </row>
        <row r="426">
          <cell r="A426">
            <v>167466</v>
          </cell>
          <cell r="B426" t="str">
            <v>GILBAR COMBUSTIBLES S.A.</v>
          </cell>
          <cell r="C426">
            <v>4931.3076923076924</v>
          </cell>
          <cell r="D426">
            <v>16241.61538461539</v>
          </cell>
        </row>
        <row r="427">
          <cell r="A427">
            <v>167473</v>
          </cell>
          <cell r="B427" t="str">
            <v>URQUIZA COMBUSTIBLES S.A.</v>
          </cell>
          <cell r="C427">
            <v>19109.384615384621</v>
          </cell>
          <cell r="D427">
            <v>14520.30769230769</v>
          </cell>
        </row>
        <row r="428">
          <cell r="A428">
            <v>167486</v>
          </cell>
          <cell r="B428" t="str">
            <v>BAJA- ESTACION INTEGRAL DE SERVICIOS</v>
          </cell>
          <cell r="C428">
            <v>6988.5</v>
          </cell>
          <cell r="D428">
            <v>1794.5</v>
          </cell>
        </row>
        <row r="429">
          <cell r="A429">
            <v>167506</v>
          </cell>
          <cell r="B429" t="str">
            <v>CAVIRAMA SRL</v>
          </cell>
          <cell r="C429">
            <v>23905.76923076923</v>
          </cell>
          <cell r="D429">
            <v>12848.846153846151</v>
          </cell>
        </row>
        <row r="430">
          <cell r="A430">
            <v>167521</v>
          </cell>
          <cell r="B430" t="str">
            <v>JOSE AFID SCHAMUN SRL - LAVALLE</v>
          </cell>
          <cell r="C430">
            <v>3071.8461538461538</v>
          </cell>
          <cell r="D430">
            <v>12928.846153846151</v>
          </cell>
        </row>
        <row r="431">
          <cell r="A431">
            <v>167533</v>
          </cell>
          <cell r="B431" t="str">
            <v>GNC DEL VISO</v>
          </cell>
          <cell r="C431">
            <v>5095.6153846153848</v>
          </cell>
          <cell r="D431">
            <v>21519.461538461539</v>
          </cell>
        </row>
        <row r="432">
          <cell r="A432">
            <v>167581</v>
          </cell>
          <cell r="B432" t="str">
            <v>TREMEN S.R.L - CALLE SAN MARTIN</v>
          </cell>
          <cell r="C432">
            <v>615.23076923076928</v>
          </cell>
          <cell r="D432">
            <v>10103.538461538459</v>
          </cell>
        </row>
        <row r="433">
          <cell r="A433">
            <v>167590</v>
          </cell>
          <cell r="B433" t="str">
            <v>LOMFAKO S.A.</v>
          </cell>
          <cell r="C433">
            <v>120.1818181818182</v>
          </cell>
          <cell r="D433">
            <v>6757.818181818182</v>
          </cell>
        </row>
        <row r="434">
          <cell r="A434">
            <v>167591</v>
          </cell>
          <cell r="B434" t="str">
            <v>GUSTAVO JULIAN Y MIGUEL A. ZUAIN SOCIEDAD DE HECHO</v>
          </cell>
          <cell r="C434">
            <v>133.30769230769229</v>
          </cell>
          <cell r="D434">
            <v>3089.538461538461</v>
          </cell>
        </row>
        <row r="435">
          <cell r="A435">
            <v>167596</v>
          </cell>
          <cell r="B435" t="str">
            <v>COMBUSTIBLES LITORAL S.A. -RUTA 14</v>
          </cell>
          <cell r="C435">
            <v>79.692307692307693</v>
          </cell>
          <cell r="D435">
            <v>2649</v>
          </cell>
        </row>
        <row r="436">
          <cell r="A436">
            <v>167598</v>
          </cell>
          <cell r="B436" t="str">
            <v>GRIS S.A.</v>
          </cell>
          <cell r="C436">
            <v>5209.0769230769229</v>
          </cell>
          <cell r="D436">
            <v>14389.23076923077</v>
          </cell>
        </row>
        <row r="437">
          <cell r="A437">
            <v>167609</v>
          </cell>
          <cell r="B437" t="str">
            <v>FEBO IMPERIA</v>
          </cell>
          <cell r="C437">
            <v>1615.9230769230769</v>
          </cell>
          <cell r="D437">
            <v>13291.07692307692</v>
          </cell>
        </row>
        <row r="438">
          <cell r="A438">
            <v>167624</v>
          </cell>
          <cell r="B438" t="str">
            <v>FASENA ENERGÍA SA</v>
          </cell>
          <cell r="C438">
            <v>7934.5384615384619</v>
          </cell>
          <cell r="D438">
            <v>8841.1538461538457</v>
          </cell>
        </row>
        <row r="439">
          <cell r="A439">
            <v>167636</v>
          </cell>
          <cell r="B439" t="str">
            <v>LA LOMA DE MATHEU S.A.</v>
          </cell>
          <cell r="C439">
            <v>3757.1538461538462</v>
          </cell>
          <cell r="D439">
            <v>10265.153846153849</v>
          </cell>
        </row>
        <row r="440">
          <cell r="A440">
            <v>167650</v>
          </cell>
          <cell r="B440" t="str">
            <v>SERVIQUIL S.R.L.</v>
          </cell>
          <cell r="C440">
            <v>3488</v>
          </cell>
          <cell r="D440">
            <v>11497.23076923077</v>
          </cell>
        </row>
        <row r="441">
          <cell r="A441">
            <v>167655</v>
          </cell>
          <cell r="B441" t="str">
            <v>DON BOSCO 2805 COMBUSTIBLES DEL OESTE SA EX PERRI</v>
          </cell>
          <cell r="C441">
            <v>2102.0769230769229</v>
          </cell>
          <cell r="D441">
            <v>7290.3846153846152</v>
          </cell>
        </row>
        <row r="442">
          <cell r="A442">
            <v>167656</v>
          </cell>
          <cell r="B442" t="str">
            <v>LAND OIL SRL</v>
          </cell>
          <cell r="C442">
            <v>521.61538461538464</v>
          </cell>
          <cell r="D442">
            <v>14556</v>
          </cell>
        </row>
        <row r="443">
          <cell r="A443">
            <v>167669</v>
          </cell>
          <cell r="B443" t="str">
            <v>ABELAR SERVICIOS S.R.L.</v>
          </cell>
          <cell r="C443">
            <v>1277.3846153846159</v>
          </cell>
          <cell r="D443">
            <v>5713.4615384615381</v>
          </cell>
        </row>
        <row r="444">
          <cell r="A444">
            <v>167671</v>
          </cell>
          <cell r="B444" t="str">
            <v>PETROCOC S.R.L.</v>
          </cell>
          <cell r="C444">
            <v>5656.0769230769229</v>
          </cell>
          <cell r="D444">
            <v>6584</v>
          </cell>
        </row>
        <row r="445">
          <cell r="A445">
            <v>167674</v>
          </cell>
          <cell r="B445" t="str">
            <v>COMBELPA S.R.L.</v>
          </cell>
          <cell r="C445">
            <v>2391.9230769230771</v>
          </cell>
          <cell r="D445">
            <v>10014.30769230769</v>
          </cell>
        </row>
        <row r="446">
          <cell r="A446">
            <v>167675</v>
          </cell>
          <cell r="B446" t="str">
            <v>PULQUI PUNTANO SA</v>
          </cell>
          <cell r="C446">
            <v>19720.076923076918</v>
          </cell>
          <cell r="D446">
            <v>36228.076923076922</v>
          </cell>
        </row>
        <row r="447">
          <cell r="A447">
            <v>167677</v>
          </cell>
          <cell r="B447" t="str">
            <v>DEL VALLE COMUNICACIONES SRL</v>
          </cell>
          <cell r="C447">
            <v>14909.461538461541</v>
          </cell>
          <cell r="D447">
            <v>10877.30769230769</v>
          </cell>
        </row>
        <row r="448">
          <cell r="A448">
            <v>167678</v>
          </cell>
          <cell r="B448" t="str">
            <v>LFS COMBUSTIBLES S.A.</v>
          </cell>
          <cell r="C448">
            <v>2522.7692307692309</v>
          </cell>
          <cell r="D448">
            <v>6620</v>
          </cell>
        </row>
        <row r="449">
          <cell r="A449">
            <v>167680</v>
          </cell>
          <cell r="B449" t="str">
            <v>ORO NEGRO S.R.L.- AXION DON BOSCO</v>
          </cell>
          <cell r="C449">
            <v>10149.153846153849</v>
          </cell>
          <cell r="D449">
            <v>17399.461538461539</v>
          </cell>
        </row>
        <row r="450">
          <cell r="A450">
            <v>167682</v>
          </cell>
          <cell r="B450" t="str">
            <v>GIANESE EDUARDO DANIEL - SANTA ROSA</v>
          </cell>
          <cell r="C450">
            <v>3540.2307692307691</v>
          </cell>
          <cell r="D450">
            <v>14227.61538461539</v>
          </cell>
        </row>
        <row r="451">
          <cell r="A451">
            <v>167683</v>
          </cell>
          <cell r="B451" t="str">
            <v>LAND OIL S.R.L.- SAN MARTIN</v>
          </cell>
          <cell r="C451">
            <v>3441.6923076923081</v>
          </cell>
          <cell r="D451">
            <v>16938.076923076918</v>
          </cell>
        </row>
        <row r="452">
          <cell r="A452">
            <v>167684</v>
          </cell>
          <cell r="B452" t="str">
            <v>PETROTRES LA HUELLA</v>
          </cell>
          <cell r="C452">
            <v>3315.8461538461538</v>
          </cell>
          <cell r="D452">
            <v>8214.2307692307695</v>
          </cell>
        </row>
        <row r="453">
          <cell r="A453">
            <v>167685</v>
          </cell>
          <cell r="B453" t="str">
            <v>NTI 2017 - PETROISLAND S.A.</v>
          </cell>
          <cell r="C453">
            <v>2889.5</v>
          </cell>
          <cell r="D453">
            <v>16431</v>
          </cell>
        </row>
        <row r="454">
          <cell r="A454">
            <v>167686</v>
          </cell>
          <cell r="B454" t="str">
            <v>EL CORRALITO S.R.L. EN FORMACION</v>
          </cell>
          <cell r="C454">
            <v>959.61538461538464</v>
          </cell>
          <cell r="D454">
            <v>8331.6923076923085</v>
          </cell>
        </row>
        <row r="455">
          <cell r="A455">
            <v>167687</v>
          </cell>
          <cell r="B455" t="str">
            <v>PARQUE AYERZA S.C.A.</v>
          </cell>
          <cell r="C455">
            <v>2205.461538461539</v>
          </cell>
          <cell r="D455">
            <v>11032.30769230769</v>
          </cell>
        </row>
        <row r="456">
          <cell r="A456">
            <v>167688</v>
          </cell>
          <cell r="B456" t="str">
            <v>RUTA DE LAS MISIONES S.A.</v>
          </cell>
          <cell r="C456">
            <v>3512.1538461538462</v>
          </cell>
          <cell r="D456">
            <v>9985.538461538461</v>
          </cell>
        </row>
        <row r="457">
          <cell r="A457">
            <v>167691</v>
          </cell>
          <cell r="B457" t="str">
            <v>NTI 2017 - MELIPAL S.A UTN</v>
          </cell>
          <cell r="C457">
            <v>27032.538461538461</v>
          </cell>
          <cell r="D457">
            <v>10364.461538461541</v>
          </cell>
        </row>
        <row r="458">
          <cell r="A458">
            <v>167693</v>
          </cell>
          <cell r="B458" t="str">
            <v>COMBUSTIBLES LIQUIDOS AYACUCHO S.R.L.</v>
          </cell>
          <cell r="C458">
            <v>3075.3333333333339</v>
          </cell>
          <cell r="D458">
            <v>12486.83333333333</v>
          </cell>
        </row>
        <row r="459">
          <cell r="A459">
            <v>167694</v>
          </cell>
          <cell r="B459" t="str">
            <v>DEL VALLE GNC SAN LUIS</v>
          </cell>
          <cell r="C459">
            <v>5681.8461538461543</v>
          </cell>
          <cell r="D459">
            <v>11752.92307692308</v>
          </cell>
        </row>
        <row r="460">
          <cell r="A460">
            <v>167696</v>
          </cell>
          <cell r="B460" t="str">
            <v>PETROMART S.R.L</v>
          </cell>
          <cell r="C460">
            <v>16310.153846153849</v>
          </cell>
          <cell r="D460">
            <v>13676.76923076923</v>
          </cell>
        </row>
        <row r="461">
          <cell r="A461">
            <v>167698</v>
          </cell>
          <cell r="B461" t="str">
            <v>POTENXA - Axion Gonzalez Catán</v>
          </cell>
          <cell r="C461">
            <v>11281.384615384621</v>
          </cell>
          <cell r="D461">
            <v>58327.153846153837</v>
          </cell>
        </row>
        <row r="462">
          <cell r="A462">
            <v>167699</v>
          </cell>
          <cell r="B462" t="str">
            <v>TANTI - LOS QUIMBALETES GNC S.R.L.</v>
          </cell>
          <cell r="C462">
            <v>6511.6153846153848</v>
          </cell>
          <cell r="D462">
            <v>10711</v>
          </cell>
        </row>
        <row r="463">
          <cell r="A463">
            <v>167702</v>
          </cell>
          <cell r="B463" t="str">
            <v>JACOB MIGUEL ANGEL</v>
          </cell>
          <cell r="C463">
            <v>4143.3846153846152</v>
          </cell>
          <cell r="D463">
            <v>10951.153846153849</v>
          </cell>
        </row>
        <row r="464">
          <cell r="A464">
            <v>167720</v>
          </cell>
          <cell r="B464" t="str">
            <v>LA CUARTA S.A.</v>
          </cell>
          <cell r="C464">
            <v>9583.3076923076915</v>
          </cell>
          <cell r="D464">
            <v>5600.9230769230771</v>
          </cell>
        </row>
        <row r="465">
          <cell r="A465">
            <v>167722</v>
          </cell>
          <cell r="B465" t="str">
            <v>TODO SERVICIOS S.R.L.</v>
          </cell>
          <cell r="C465">
            <v>4628.9230769230771</v>
          </cell>
          <cell r="D465">
            <v>14032.69230769231</v>
          </cell>
        </row>
        <row r="466">
          <cell r="A466">
            <v>167726</v>
          </cell>
          <cell r="B466" t="str">
            <v>NTI 2018 - LUBRICANTES SAN LORENZO Bv. URQUIZA</v>
          </cell>
          <cell r="C466">
            <v>2362</v>
          </cell>
          <cell r="D466">
            <v>12208.30769230769</v>
          </cell>
        </row>
        <row r="467">
          <cell r="A467">
            <v>167728</v>
          </cell>
          <cell r="B467" t="str">
            <v>OCTANO S.R.L.</v>
          </cell>
          <cell r="C467">
            <v>4870.7692307692314</v>
          </cell>
          <cell r="D467">
            <v>10365.538461538459</v>
          </cell>
        </row>
        <row r="468">
          <cell r="A468">
            <v>167730</v>
          </cell>
          <cell r="B468" t="str">
            <v>LA REGIONAL COMBUSTIBLES S.A.</v>
          </cell>
          <cell r="C468">
            <v>3390.0769230769229</v>
          </cell>
          <cell r="D468">
            <v>11685.69230769231</v>
          </cell>
        </row>
        <row r="469">
          <cell r="A469">
            <v>167731</v>
          </cell>
          <cell r="B469" t="str">
            <v>NUEVO CLIENTE ESQUINA KAIKEN S.A. SUCESOR DE 158250 - 229287</v>
          </cell>
          <cell r="C469">
            <v>10121</v>
          </cell>
          <cell r="D469">
            <v>11279.153846153849</v>
          </cell>
        </row>
        <row r="470">
          <cell r="A470">
            <v>167732</v>
          </cell>
          <cell r="B470" t="str">
            <v>SERVICIOS LUARCA S.A.</v>
          </cell>
          <cell r="C470">
            <v>4871.6923076923076</v>
          </cell>
          <cell r="D470">
            <v>17331.153846153851</v>
          </cell>
        </row>
        <row r="471">
          <cell r="A471">
            <v>167733</v>
          </cell>
          <cell r="B471" t="str">
            <v>DE LA VEGA ABELARDO BENJAMIN- RIVADAVIA</v>
          </cell>
          <cell r="C471">
            <v>1044.538461538461</v>
          </cell>
          <cell r="D471">
            <v>13457.846153846151</v>
          </cell>
        </row>
        <row r="472">
          <cell r="A472">
            <v>167734</v>
          </cell>
          <cell r="B472" t="str">
            <v>DE LA VEGA ABELARDO BENJAMIN - GUEMES</v>
          </cell>
          <cell r="C472">
            <v>1545.461538461539</v>
          </cell>
          <cell r="D472">
            <v>14262.61538461539</v>
          </cell>
        </row>
        <row r="473">
          <cell r="A473">
            <v>167735</v>
          </cell>
          <cell r="B473" t="str">
            <v>DE LA VEGA ABELARDO BENJAMIN</v>
          </cell>
          <cell r="C473">
            <v>1405.153846153846</v>
          </cell>
          <cell r="D473">
            <v>17561.307692307691</v>
          </cell>
        </row>
        <row r="474">
          <cell r="A474">
            <v>167736</v>
          </cell>
          <cell r="B474" t="str">
            <v>AGUSFED S.A.</v>
          </cell>
          <cell r="C474">
            <v>190.46153846153851</v>
          </cell>
          <cell r="D474">
            <v>9087.0769230769238</v>
          </cell>
        </row>
        <row r="475">
          <cell r="A475">
            <v>167737</v>
          </cell>
          <cell r="B475" t="str">
            <v>CV S.R.L</v>
          </cell>
          <cell r="C475">
            <v>433.23076923076923</v>
          </cell>
          <cell r="D475">
            <v>7747.1538461538457</v>
          </cell>
        </row>
        <row r="476">
          <cell r="A476">
            <v>167738</v>
          </cell>
          <cell r="B476" t="str">
            <v>CYL SRL</v>
          </cell>
          <cell r="C476">
            <v>394.07692307692309</v>
          </cell>
          <cell r="D476">
            <v>7235.2307692307704</v>
          </cell>
        </row>
        <row r="477">
          <cell r="A477">
            <v>167739</v>
          </cell>
          <cell r="B477" t="str">
            <v>RIO TURBIO - ALMA S.A.</v>
          </cell>
          <cell r="C477">
            <v>348.23076923076923</v>
          </cell>
          <cell r="D477">
            <v>5673.3076923076924</v>
          </cell>
        </row>
        <row r="478">
          <cell r="A478">
            <v>167740</v>
          </cell>
          <cell r="B478" t="str">
            <v>DIMSUR S.R.L.</v>
          </cell>
          <cell r="C478">
            <v>921.46153846153845</v>
          </cell>
          <cell r="D478">
            <v>16904.384615384621</v>
          </cell>
        </row>
        <row r="479">
          <cell r="A479">
            <v>167741</v>
          </cell>
          <cell r="B479" t="str">
            <v>EGESUR S.A.</v>
          </cell>
          <cell r="C479">
            <v>976.46153846153845</v>
          </cell>
          <cell r="D479">
            <v>29108.153846153851</v>
          </cell>
        </row>
        <row r="480">
          <cell r="A480">
            <v>167742</v>
          </cell>
          <cell r="B480" t="str">
            <v>ZONA CERO S.A.</v>
          </cell>
          <cell r="C480">
            <v>472.38461538461542</v>
          </cell>
          <cell r="D480">
            <v>10031.846153846151</v>
          </cell>
        </row>
        <row r="481">
          <cell r="A481">
            <v>167743</v>
          </cell>
          <cell r="B481" t="str">
            <v>VALLE 16 DE OCTUBRE S.R.L.</v>
          </cell>
          <cell r="C481">
            <v>667.84615384615381</v>
          </cell>
          <cell r="D481">
            <v>10874.23076923077</v>
          </cell>
        </row>
        <row r="482">
          <cell r="A482">
            <v>167746</v>
          </cell>
          <cell r="B482" t="str">
            <v>TORO PATRICIA VERONICA</v>
          </cell>
          <cell r="C482">
            <v>832.61538461538464</v>
          </cell>
          <cell r="D482">
            <v>11960.153846153849</v>
          </cell>
        </row>
        <row r="483">
          <cell r="A483">
            <v>167747</v>
          </cell>
          <cell r="B483" t="str">
            <v>ESTAC DE SERVICIO DEL CENTRO SRL</v>
          </cell>
          <cell r="C483">
            <v>2381.7692307692309</v>
          </cell>
          <cell r="D483">
            <v>16796.923076923082</v>
          </cell>
        </row>
        <row r="484">
          <cell r="A484">
            <v>167748</v>
          </cell>
          <cell r="B484" t="str">
            <v>EL TEHUELCHE SRL - RIVADAVIA</v>
          </cell>
          <cell r="C484">
            <v>1565.7692307692309</v>
          </cell>
          <cell r="D484">
            <v>20481.538461538461</v>
          </cell>
        </row>
        <row r="485">
          <cell r="A485">
            <v>167749</v>
          </cell>
          <cell r="B485" t="str">
            <v>EL TEHUELCHE SRL - ESCALANTE</v>
          </cell>
          <cell r="C485">
            <v>1687.615384615385</v>
          </cell>
          <cell r="D485">
            <v>20860.384615384621</v>
          </cell>
        </row>
        <row r="486">
          <cell r="A486">
            <v>167750</v>
          </cell>
          <cell r="B486" t="str">
            <v>EL BIERZO - VERTAS S.A.</v>
          </cell>
          <cell r="C486">
            <v>3032.9230769230771</v>
          </cell>
          <cell r="D486">
            <v>22335.692307692309</v>
          </cell>
        </row>
        <row r="487">
          <cell r="A487">
            <v>167751</v>
          </cell>
          <cell r="B487" t="str">
            <v>EL TEHUELCHE SRL- SARMIENTO</v>
          </cell>
          <cell r="C487">
            <v>241.61538461538461</v>
          </cell>
          <cell r="D487">
            <v>7421.3076923076924</v>
          </cell>
        </row>
        <row r="488">
          <cell r="A488">
            <v>167752</v>
          </cell>
          <cell r="B488" t="str">
            <v>EL GOROSITO - VERTAS S.A.</v>
          </cell>
          <cell r="C488">
            <v>3214.3846153846148</v>
          </cell>
          <cell r="D488">
            <v>29590.615384615379</v>
          </cell>
        </row>
        <row r="489">
          <cell r="A489">
            <v>167753</v>
          </cell>
          <cell r="B489" t="str">
            <v>FS 2018 - SANDIN HECTOR, SANDIN FABIOLA Y SAN</v>
          </cell>
          <cell r="C489">
            <v>453.23076923076923</v>
          </cell>
          <cell r="D489">
            <v>11840.153846153849</v>
          </cell>
        </row>
        <row r="490">
          <cell r="A490">
            <v>167754</v>
          </cell>
          <cell r="B490" t="str">
            <v>RAPISUR S.A.</v>
          </cell>
          <cell r="C490">
            <v>716.69230769230774</v>
          </cell>
          <cell r="D490">
            <v>8889.3076923076915</v>
          </cell>
        </row>
        <row r="491">
          <cell r="A491">
            <v>167755</v>
          </cell>
          <cell r="B491" t="str">
            <v>PETROEX S.A.</v>
          </cell>
          <cell r="C491">
            <v>2175.8461538461538</v>
          </cell>
          <cell r="D491">
            <v>13109.92307692308</v>
          </cell>
        </row>
        <row r="492">
          <cell r="A492">
            <v>167756</v>
          </cell>
          <cell r="B492" t="str">
            <v>FS 2018 - FEDE S.R.L.</v>
          </cell>
          <cell r="C492">
            <v>2135.125</v>
          </cell>
          <cell r="D492">
            <v>12097.375</v>
          </cell>
        </row>
        <row r="493">
          <cell r="A493">
            <v>167757</v>
          </cell>
          <cell r="B493" t="str">
            <v>FS 2018 - MASTER OIL S.A.</v>
          </cell>
          <cell r="C493">
            <v>289.89999999999998</v>
          </cell>
          <cell r="D493">
            <v>6398.1</v>
          </cell>
        </row>
        <row r="494">
          <cell r="A494">
            <v>167760</v>
          </cell>
          <cell r="B494" t="str">
            <v>MACRA SRL</v>
          </cell>
          <cell r="C494">
            <v>853.23076923076928</v>
          </cell>
          <cell r="D494">
            <v>10188.538461538459</v>
          </cell>
        </row>
        <row r="495">
          <cell r="A495">
            <v>167761</v>
          </cell>
          <cell r="B495" t="str">
            <v>GOICOECHEA JORGE MIGUEL SH</v>
          </cell>
          <cell r="C495">
            <v>1186.461538461539</v>
          </cell>
          <cell r="D495">
            <v>18797.307692307691</v>
          </cell>
        </row>
        <row r="496">
          <cell r="A496">
            <v>167762</v>
          </cell>
          <cell r="B496" t="str">
            <v>LA URBANA S.R.L</v>
          </cell>
          <cell r="C496">
            <v>1518.538461538461</v>
          </cell>
          <cell r="D496">
            <v>18490.384615384621</v>
          </cell>
        </row>
        <row r="497">
          <cell r="A497">
            <v>167763</v>
          </cell>
          <cell r="B497" t="str">
            <v>LANA ERNESTO JOSE</v>
          </cell>
          <cell r="C497">
            <v>392.5384615384616</v>
          </cell>
          <cell r="D497">
            <v>8667.9230769230762</v>
          </cell>
        </row>
        <row r="498">
          <cell r="A498">
            <v>167764</v>
          </cell>
          <cell r="B498" t="str">
            <v>CR COMBUSTIBLES PATAGONICOS SA</v>
          </cell>
          <cell r="C498">
            <v>175.69230769230771</v>
          </cell>
          <cell r="D498">
            <v>7902.3076923076924</v>
          </cell>
        </row>
        <row r="499">
          <cell r="A499">
            <v>167772</v>
          </cell>
          <cell r="B499" t="str">
            <v>ROCCA SUR - AXION DINA HUAPI</v>
          </cell>
          <cell r="C499">
            <v>632.84615384615381</v>
          </cell>
          <cell r="D499">
            <v>19109</v>
          </cell>
        </row>
        <row r="500">
          <cell r="A500">
            <v>167774</v>
          </cell>
          <cell r="B500" t="str">
            <v>GRISANTI SERVICIOS S.A.</v>
          </cell>
          <cell r="C500">
            <v>9221.8461538461543</v>
          </cell>
          <cell r="D500">
            <v>5083.3076923076924</v>
          </cell>
        </row>
        <row r="501">
          <cell r="A501">
            <v>167778</v>
          </cell>
          <cell r="B501" t="str">
            <v>ARBIZU-PAGELLA SRL</v>
          </cell>
          <cell r="C501">
            <v>231.69230769230771</v>
          </cell>
          <cell r="D501">
            <v>12955.76923076923</v>
          </cell>
        </row>
        <row r="502">
          <cell r="A502">
            <v>167790</v>
          </cell>
          <cell r="B502" t="str">
            <v>DIONE S.A.</v>
          </cell>
          <cell r="C502">
            <v>10902.384615384621</v>
          </cell>
          <cell r="D502">
            <v>21965.384615384621</v>
          </cell>
        </row>
        <row r="503">
          <cell r="A503">
            <v>167791</v>
          </cell>
          <cell r="B503" t="str">
            <v>AXION BALLESTEROS MARCOS PAZ</v>
          </cell>
          <cell r="C503">
            <v>6053</v>
          </cell>
          <cell r="D503">
            <v>11681.30769230769</v>
          </cell>
        </row>
        <row r="504">
          <cell r="A504">
            <v>167805</v>
          </cell>
          <cell r="B504" t="str">
            <v>NTI 2018 - FULL PETROL (Virasoro)</v>
          </cell>
          <cell r="C504">
            <v>12201.4</v>
          </cell>
          <cell r="D504">
            <v>10258.4</v>
          </cell>
        </row>
        <row r="505">
          <cell r="A505">
            <v>167807</v>
          </cell>
          <cell r="B505" t="str">
            <v>MAXFA S.A.</v>
          </cell>
          <cell r="C505">
            <v>4478.7692307692314</v>
          </cell>
          <cell r="D505">
            <v>17219.846153846149</v>
          </cell>
        </row>
        <row r="506">
          <cell r="A506">
            <v>167808</v>
          </cell>
          <cell r="B506" t="str">
            <v>BENZIN SRL - O'HIGGINS</v>
          </cell>
          <cell r="C506">
            <v>3911.538461538461</v>
          </cell>
          <cell r="D506">
            <v>15775.538461538459</v>
          </cell>
        </row>
        <row r="507">
          <cell r="A507">
            <v>167810</v>
          </cell>
          <cell r="B507" t="str">
            <v>DONATA RINALDI DEL SORDO</v>
          </cell>
          <cell r="C507">
            <v>5361.1538461538457</v>
          </cell>
          <cell r="D507">
            <v>12794.461538461541</v>
          </cell>
        </row>
        <row r="508">
          <cell r="A508">
            <v>167811</v>
          </cell>
          <cell r="B508" t="str">
            <v>LA ROTONDA S.R.L. - DON GERMAN</v>
          </cell>
          <cell r="C508">
            <v>29255.153846153851</v>
          </cell>
          <cell r="D508">
            <v>13481.69230769231</v>
          </cell>
        </row>
        <row r="509">
          <cell r="A509">
            <v>167822</v>
          </cell>
          <cell r="B509" t="str">
            <v>SHANKO S.R.L.</v>
          </cell>
          <cell r="C509">
            <v>1413.2307692307691</v>
          </cell>
          <cell r="D509">
            <v>3068.6153846153852</v>
          </cell>
        </row>
        <row r="510">
          <cell r="A510">
            <v>167829</v>
          </cell>
          <cell r="B510" t="str">
            <v>CARDINAL LOS ARCOS</v>
          </cell>
          <cell r="C510">
            <v>29091.846153846149</v>
          </cell>
          <cell r="D510">
            <v>20289.076923076918</v>
          </cell>
        </row>
        <row r="511">
          <cell r="A511">
            <v>167833</v>
          </cell>
          <cell r="B511" t="str">
            <v>QUICA S.A.</v>
          </cell>
          <cell r="C511">
            <v>4542.3076923076924</v>
          </cell>
          <cell r="D511">
            <v>16021.61538461539</v>
          </cell>
        </row>
        <row r="512">
          <cell r="A512">
            <v>167835</v>
          </cell>
          <cell r="B512" t="str">
            <v>SERVISOL 131 S.A.</v>
          </cell>
          <cell r="C512">
            <v>3865.0769230769229</v>
          </cell>
          <cell r="D512">
            <v>9517.6923076923085</v>
          </cell>
        </row>
        <row r="513">
          <cell r="A513">
            <v>167836</v>
          </cell>
          <cell r="B513" t="str">
            <v>NTI 2018 - ESTACION FIAMA SRL</v>
          </cell>
          <cell r="C513">
            <v>4597.7</v>
          </cell>
          <cell r="D513">
            <v>12471.7</v>
          </cell>
        </row>
        <row r="514">
          <cell r="A514">
            <v>167837</v>
          </cell>
          <cell r="B514" t="str">
            <v>MILENIA ENERGIA</v>
          </cell>
          <cell r="C514">
            <v>36934.615384615383</v>
          </cell>
          <cell r="D514">
            <v>15232.30769230769</v>
          </cell>
        </row>
        <row r="515">
          <cell r="A515">
            <v>167838</v>
          </cell>
          <cell r="B515" t="str">
            <v>RUMBO SUR S.R.L.</v>
          </cell>
          <cell r="C515">
            <v>2347.461538461539</v>
          </cell>
          <cell r="D515">
            <v>9491.538461538461</v>
          </cell>
        </row>
        <row r="516">
          <cell r="A516">
            <v>167840</v>
          </cell>
          <cell r="B516" t="str">
            <v>LUBRICANTES Y COMBUSTIBLES DATRI S.R.L.</v>
          </cell>
          <cell r="C516">
            <v>2418.7692307692309</v>
          </cell>
          <cell r="D516">
            <v>21418.307692307691</v>
          </cell>
        </row>
        <row r="517">
          <cell r="A517">
            <v>167845</v>
          </cell>
          <cell r="B517" t="str">
            <v>OLIVOS COMBUSTIBLES</v>
          </cell>
          <cell r="C517">
            <v>2800.0769230769229</v>
          </cell>
          <cell r="D517">
            <v>10778.61538461539</v>
          </cell>
        </row>
        <row r="518">
          <cell r="A518">
            <v>167846</v>
          </cell>
          <cell r="B518" t="str">
            <v>BEKAGRO SRL</v>
          </cell>
          <cell r="C518">
            <v>17406.461538461539</v>
          </cell>
          <cell r="D518">
            <v>13639.76923076923</v>
          </cell>
        </row>
        <row r="519">
          <cell r="A519">
            <v>167849</v>
          </cell>
          <cell r="B519" t="str">
            <v>EL GUAYACAN</v>
          </cell>
          <cell r="C519">
            <v>3918.3076923076919</v>
          </cell>
          <cell r="D519">
            <v>7897</v>
          </cell>
        </row>
        <row r="520">
          <cell r="A520">
            <v>167850</v>
          </cell>
          <cell r="B520" t="str">
            <v>SCHOLLES OMAR ALBERTO - CAMPO GRANDE</v>
          </cell>
          <cell r="C520">
            <v>4450.9230769230771</v>
          </cell>
          <cell r="D520">
            <v>14646.153846153849</v>
          </cell>
        </row>
        <row r="521">
          <cell r="A521">
            <v>167855</v>
          </cell>
          <cell r="B521" t="str">
            <v>TOTAL GNC S.R.L.</v>
          </cell>
          <cell r="C521">
            <v>4402.9230769230771</v>
          </cell>
          <cell r="D521">
            <v>10164.07692307692</v>
          </cell>
        </row>
        <row r="522">
          <cell r="A522">
            <v>167860</v>
          </cell>
          <cell r="B522" t="str">
            <v>MOSCONI S.R.L.</v>
          </cell>
          <cell r="C522">
            <v>2922.3076923076919</v>
          </cell>
          <cell r="D522">
            <v>9314.7692307692305</v>
          </cell>
        </row>
        <row r="523">
          <cell r="A523">
            <v>167863</v>
          </cell>
          <cell r="B523" t="str">
            <v>RILEO SRL</v>
          </cell>
          <cell r="C523">
            <v>26268.307692307691</v>
          </cell>
          <cell r="D523">
            <v>11237.61538461539</v>
          </cell>
        </row>
        <row r="524">
          <cell r="A524">
            <v>167869</v>
          </cell>
          <cell r="B524" t="str">
            <v>SERVIDUAL LUJAN</v>
          </cell>
          <cell r="C524">
            <v>7144.4615384615381</v>
          </cell>
          <cell r="D524">
            <v>11395.384615384621</v>
          </cell>
        </row>
        <row r="525">
          <cell r="A525">
            <v>167870</v>
          </cell>
          <cell r="B525" t="str">
            <v>NTI 2019 - PETROLF NORTE S.R.L.</v>
          </cell>
          <cell r="C525">
            <v>43199.923076923078</v>
          </cell>
          <cell r="D525">
            <v>19485.153846153851</v>
          </cell>
        </row>
        <row r="526">
          <cell r="A526">
            <v>167871</v>
          </cell>
          <cell r="B526" t="str">
            <v>NTI 2020 - PARQUE BELLA VISTA</v>
          </cell>
          <cell r="C526">
            <v>2488.3076923076919</v>
          </cell>
          <cell r="D526">
            <v>10207.538461538459</v>
          </cell>
        </row>
        <row r="527">
          <cell r="A527">
            <v>167877</v>
          </cell>
          <cell r="B527" t="str">
            <v>SAN GUILLERMO</v>
          </cell>
          <cell r="C527">
            <v>3335.7692307692309</v>
          </cell>
          <cell r="D527">
            <v>11357.153846153849</v>
          </cell>
        </row>
        <row r="528">
          <cell r="A528">
            <v>167880</v>
          </cell>
          <cell r="B528" t="str">
            <v>NTI 2019 - GOICOCHEA</v>
          </cell>
          <cell r="C528">
            <v>893.6</v>
          </cell>
          <cell r="D528">
            <v>11827.6</v>
          </cell>
        </row>
        <row r="529">
          <cell r="A529">
            <v>167882</v>
          </cell>
          <cell r="B529" t="str">
            <v>GNC DEL OESTE S.R.L.</v>
          </cell>
          <cell r="C529">
            <v>6548.1538461538457</v>
          </cell>
          <cell r="D529">
            <v>8765.7692307692305</v>
          </cell>
        </row>
        <row r="530">
          <cell r="A530">
            <v>167883</v>
          </cell>
          <cell r="B530" t="str">
            <v>NTI 2019 - ALVALL SRL (ZAPALA)</v>
          </cell>
          <cell r="C530">
            <v>1965.8</v>
          </cell>
          <cell r="D530">
            <v>24456.9</v>
          </cell>
        </row>
        <row r="531">
          <cell r="A531">
            <v>167884</v>
          </cell>
          <cell r="B531" t="str">
            <v>DELTA GNC - CONCORD GAS S.A.</v>
          </cell>
          <cell r="C531">
            <v>1663.538461538461</v>
          </cell>
          <cell r="D531">
            <v>8924.461538461539</v>
          </cell>
        </row>
        <row r="532">
          <cell r="A532">
            <v>167888</v>
          </cell>
          <cell r="B532" t="str">
            <v>GEO LATITUD SRL - CODO PARANA</v>
          </cell>
          <cell r="C532">
            <v>3795.461538461539</v>
          </cell>
          <cell r="D532">
            <v>7644.3846153846152</v>
          </cell>
        </row>
        <row r="533">
          <cell r="A533">
            <v>167892</v>
          </cell>
          <cell r="B533" t="str">
            <v>CORS AUBASA CF (AUT LA PLATA A BS AS)</v>
          </cell>
          <cell r="C533">
            <v>995.61538461538464</v>
          </cell>
          <cell r="D533">
            <v>23348.923076923082</v>
          </cell>
        </row>
        <row r="534">
          <cell r="A534">
            <v>167894</v>
          </cell>
          <cell r="B534" t="str">
            <v>CORS AUBASA LP (BS AS A LP)</v>
          </cell>
          <cell r="C534">
            <v>942.61538461538464</v>
          </cell>
          <cell r="D534">
            <v>23346.76923076923</v>
          </cell>
        </row>
        <row r="535">
          <cell r="A535">
            <v>167896</v>
          </cell>
          <cell r="B535" t="str">
            <v>NTI 2019 - PIEDRA DEL AGUILA</v>
          </cell>
          <cell r="C535">
            <v>185.33333333333329</v>
          </cell>
          <cell r="D535">
            <v>12464.91666666667</v>
          </cell>
        </row>
        <row r="536">
          <cell r="A536">
            <v>167897</v>
          </cell>
          <cell r="B536" t="str">
            <v>EL TRIANGULO TERMINAL DE CAMIONES</v>
          </cell>
          <cell r="C536">
            <v>2050.3076923076919</v>
          </cell>
          <cell r="D536">
            <v>10134.461538461541</v>
          </cell>
        </row>
        <row r="537">
          <cell r="A537">
            <v>167898</v>
          </cell>
          <cell r="B537" t="str">
            <v>FS 2022 - ELI GNECCO</v>
          </cell>
          <cell r="C537">
            <v>168</v>
          </cell>
          <cell r="D537">
            <v>670</v>
          </cell>
        </row>
        <row r="538">
          <cell r="A538">
            <v>167900</v>
          </cell>
          <cell r="B538" t="str">
            <v>NTI 2019 - ZEBALLOS</v>
          </cell>
          <cell r="C538">
            <v>3056.7692307692309</v>
          </cell>
          <cell r="D538">
            <v>10598.69230769231</v>
          </cell>
        </row>
        <row r="539">
          <cell r="A539">
            <v>167901</v>
          </cell>
          <cell r="B539" t="str">
            <v>NTI 2019 - VICTORICA</v>
          </cell>
          <cell r="C539">
            <v>3790.538461538461</v>
          </cell>
          <cell r="D539">
            <v>13752.384615384621</v>
          </cell>
        </row>
        <row r="540">
          <cell r="A540">
            <v>167902</v>
          </cell>
          <cell r="B540" t="str">
            <v>FADEL S.A.</v>
          </cell>
          <cell r="C540">
            <v>236.2307692307692</v>
          </cell>
          <cell r="D540">
            <v>4567.1538461538457</v>
          </cell>
        </row>
        <row r="541">
          <cell r="A541">
            <v>167903</v>
          </cell>
          <cell r="B541" t="str">
            <v>RSD EMPRENDIMIENTOS</v>
          </cell>
          <cell r="C541">
            <v>6871.8461538461543</v>
          </cell>
          <cell r="D541">
            <v>17929.692307692309</v>
          </cell>
        </row>
        <row r="542">
          <cell r="A542">
            <v>167906</v>
          </cell>
          <cell r="B542" t="str">
            <v>NTI 2019 - EL TRIANGULO ROCCA SUR S.R.L.</v>
          </cell>
          <cell r="C542">
            <v>3618.3846153846148</v>
          </cell>
          <cell r="D542">
            <v>41377.846153846163</v>
          </cell>
        </row>
        <row r="543">
          <cell r="A543">
            <v>167907</v>
          </cell>
          <cell r="B543" t="str">
            <v>NTI 2019 - BORDAQUEVICH</v>
          </cell>
          <cell r="C543">
            <v>2657</v>
          </cell>
          <cell r="D543">
            <v>7190.3076923076924</v>
          </cell>
        </row>
        <row r="544">
          <cell r="A544">
            <v>167908</v>
          </cell>
          <cell r="B544" t="str">
            <v>PETRONORTE S.A</v>
          </cell>
          <cell r="C544">
            <v>16064.76923076923</v>
          </cell>
          <cell r="D544">
            <v>12063.92307692308</v>
          </cell>
        </row>
        <row r="545">
          <cell r="A545">
            <v>167911</v>
          </cell>
          <cell r="B545" t="str">
            <v>GESAL S.A.</v>
          </cell>
          <cell r="C545">
            <v>4249.9230769230771</v>
          </cell>
          <cell r="D545">
            <v>11489.69230769231</v>
          </cell>
        </row>
        <row r="546">
          <cell r="A546">
            <v>167913</v>
          </cell>
          <cell r="B546" t="str">
            <v>DEL SORDO (LUJAN)</v>
          </cell>
          <cell r="C546">
            <v>7466.1538461538457</v>
          </cell>
          <cell r="D546">
            <v>10908.61538461539</v>
          </cell>
        </row>
        <row r="547">
          <cell r="A547">
            <v>167923</v>
          </cell>
          <cell r="B547" t="str">
            <v>GNC DON PEDRO S.R.L.</v>
          </cell>
          <cell r="C547">
            <v>4956.6923076923076</v>
          </cell>
          <cell r="D547">
            <v>34504.307692307702</v>
          </cell>
        </row>
        <row r="548">
          <cell r="A548">
            <v>167926</v>
          </cell>
          <cell r="B548" t="str">
            <v>COCOMAZZI</v>
          </cell>
          <cell r="C548">
            <v>12053.153846153849</v>
          </cell>
          <cell r="D548">
            <v>12844.69230769231</v>
          </cell>
        </row>
        <row r="549">
          <cell r="A549">
            <v>167930</v>
          </cell>
          <cell r="B549" t="str">
            <v>ALVAREZ NEUMATICOS SA-EX CORS BAHIA BLANCA</v>
          </cell>
          <cell r="C549">
            <v>2486</v>
          </cell>
          <cell r="D549">
            <v>9231.2307692307695</v>
          </cell>
        </row>
        <row r="550">
          <cell r="A550">
            <v>167932</v>
          </cell>
          <cell r="B550" t="str">
            <v>CORS ARROYO SECO</v>
          </cell>
          <cell r="C550">
            <v>306</v>
          </cell>
          <cell r="D550">
            <v>25138.692307692309</v>
          </cell>
        </row>
        <row r="551">
          <cell r="A551">
            <v>167933</v>
          </cell>
          <cell r="B551" t="str">
            <v>CORS LIMA</v>
          </cell>
          <cell r="C551">
            <v>677.84615384615381</v>
          </cell>
          <cell r="D551">
            <v>22194.615384615379</v>
          </cell>
        </row>
        <row r="552">
          <cell r="A552">
            <v>167934</v>
          </cell>
          <cell r="B552" t="str">
            <v>PETRO ITATÍ SA (ITATI)</v>
          </cell>
          <cell r="C552">
            <v>3123.6923076923081</v>
          </cell>
          <cell r="D552">
            <v>9283.6153846153848</v>
          </cell>
        </row>
        <row r="553">
          <cell r="A553">
            <v>167935</v>
          </cell>
          <cell r="B553" t="str">
            <v>PETRO ITATÍ SA (PASO DE LA PATRIA)</v>
          </cell>
          <cell r="C553">
            <v>6942.8461538461543</v>
          </cell>
          <cell r="D553">
            <v>6464.5384615384619</v>
          </cell>
        </row>
        <row r="554">
          <cell r="A554">
            <v>167936</v>
          </cell>
          <cell r="B554" t="str">
            <v>MONTE DUAL S.R.L.</v>
          </cell>
          <cell r="C554">
            <v>2571.6153846153852</v>
          </cell>
          <cell r="D554">
            <v>16534.153846153851</v>
          </cell>
        </row>
        <row r="555">
          <cell r="A555">
            <v>167937</v>
          </cell>
          <cell r="B555" t="str">
            <v>NTI 2020 - BERRIA ENERGIA</v>
          </cell>
          <cell r="C555">
            <v>5690</v>
          </cell>
          <cell r="D555">
            <v>6979.7692307692314</v>
          </cell>
        </row>
        <row r="556">
          <cell r="A556">
            <v>167938</v>
          </cell>
          <cell r="B556" t="str">
            <v>ELI CEMENTERIO</v>
          </cell>
          <cell r="C556">
            <v>9821.6153846153848</v>
          </cell>
          <cell r="D556">
            <v>26111.076923076918</v>
          </cell>
        </row>
        <row r="557">
          <cell r="A557">
            <v>167940</v>
          </cell>
          <cell r="B557" t="str">
            <v>NTI 2020 - LIDA SAS</v>
          </cell>
          <cell r="C557">
            <v>20202.76923076923</v>
          </cell>
          <cell r="D557">
            <v>6832.3846153846152</v>
          </cell>
        </row>
        <row r="558">
          <cell r="A558">
            <v>167941</v>
          </cell>
          <cell r="B558" t="str">
            <v>SERVICIOS PILMAYQUEN SA</v>
          </cell>
          <cell r="C558">
            <v>2877.6923076923081</v>
          </cell>
          <cell r="D558">
            <v>12884.461538461541</v>
          </cell>
        </row>
        <row r="559">
          <cell r="A559">
            <v>167953</v>
          </cell>
          <cell r="B559" t="str">
            <v>CORS BUEN AYRE</v>
          </cell>
          <cell r="C559">
            <v>1063.666666666667</v>
          </cell>
          <cell r="D559">
            <v>14090.66666666667</v>
          </cell>
        </row>
        <row r="560">
          <cell r="A560">
            <v>167954</v>
          </cell>
          <cell r="B560" t="str">
            <v>NTI 2020 - PIONEROS</v>
          </cell>
          <cell r="C560">
            <v>677.46153846153845</v>
          </cell>
          <cell r="D560">
            <v>14141.07692307692</v>
          </cell>
        </row>
        <row r="561">
          <cell r="A561">
            <v>167957</v>
          </cell>
          <cell r="B561" t="str">
            <v>NTI 2021 - EL PRADO SA</v>
          </cell>
          <cell r="C561">
            <v>5223.6000000000004</v>
          </cell>
          <cell r="D561">
            <v>10990</v>
          </cell>
        </row>
        <row r="562">
          <cell r="A562">
            <v>167959</v>
          </cell>
          <cell r="B562" t="str">
            <v>COOP. AGROPECUARIA DE MALABRIGO</v>
          </cell>
          <cell r="C562">
            <v>5223.5384615384619</v>
          </cell>
          <cell r="D562">
            <v>7577.0769230769229</v>
          </cell>
        </row>
        <row r="563">
          <cell r="A563">
            <v>167963</v>
          </cell>
          <cell r="B563" t="str">
            <v>NTI 2020 - PALOMAR</v>
          </cell>
          <cell r="C563">
            <v>4233.0769230769229</v>
          </cell>
          <cell r="D563">
            <v>7420.2307692307704</v>
          </cell>
        </row>
        <row r="564">
          <cell r="A564">
            <v>167967</v>
          </cell>
          <cell r="B564" t="str">
            <v>PETROPRINGLES</v>
          </cell>
          <cell r="C564">
            <v>224.30769230769229</v>
          </cell>
          <cell r="D564">
            <v>12631.846153846151</v>
          </cell>
        </row>
        <row r="565">
          <cell r="A565">
            <v>167968</v>
          </cell>
          <cell r="B565" t="str">
            <v>NTI 2020 - SIMBOLO</v>
          </cell>
          <cell r="C565">
            <v>15814.23076923077</v>
          </cell>
          <cell r="D565">
            <v>12141.461538461541</v>
          </cell>
        </row>
        <row r="566">
          <cell r="A566">
            <v>167969</v>
          </cell>
          <cell r="B566" t="str">
            <v>NTI 2020 - TASCO SRL</v>
          </cell>
          <cell r="C566">
            <v>16924.692307692309</v>
          </cell>
          <cell r="D566">
            <v>8141.9230769230771</v>
          </cell>
        </row>
        <row r="567">
          <cell r="A567">
            <v>167970</v>
          </cell>
          <cell r="B567" t="str">
            <v>ANGEL DE DIOS E HIJOS SA</v>
          </cell>
          <cell r="C567">
            <v>392.69230769230768</v>
          </cell>
          <cell r="D567">
            <v>8887.7692307692305</v>
          </cell>
        </row>
        <row r="568">
          <cell r="A568">
            <v>167976</v>
          </cell>
          <cell r="B568" t="str">
            <v>NTI 2021 - G-ENERGY SRL</v>
          </cell>
          <cell r="C568">
            <v>4754</v>
          </cell>
          <cell r="D568">
            <v>3284</v>
          </cell>
        </row>
        <row r="569">
          <cell r="A569">
            <v>167980</v>
          </cell>
          <cell r="B569" t="str">
            <v>NTI 2022 - METEÑA HNOS SA</v>
          </cell>
          <cell r="C569">
            <v>859</v>
          </cell>
          <cell r="D569">
            <v>3277</v>
          </cell>
        </row>
        <row r="570">
          <cell r="A570">
            <v>167982</v>
          </cell>
          <cell r="B570" t="str">
            <v>FS 2022 - COMBUSTIBLES DEL OESTE SRL</v>
          </cell>
          <cell r="C570">
            <v>732</v>
          </cell>
          <cell r="D570">
            <v>4182</v>
          </cell>
        </row>
        <row r="571">
          <cell r="A571">
            <v>167987</v>
          </cell>
          <cell r="B571" t="str">
            <v>NTI 2021 - Rio Grande (OASIS SRL)</v>
          </cell>
          <cell r="C571">
            <v>121</v>
          </cell>
          <cell r="D571">
            <v>5352</v>
          </cell>
        </row>
        <row r="572">
          <cell r="A572">
            <v>167988</v>
          </cell>
          <cell r="B572" t="str">
            <v>NTI 2021 - KEOPS SA</v>
          </cell>
          <cell r="C572">
            <v>38279.333333333343</v>
          </cell>
          <cell r="D572">
            <v>12119.66666666667</v>
          </cell>
        </row>
        <row r="573">
          <cell r="A573">
            <v>167991</v>
          </cell>
          <cell r="B573" t="str">
            <v>FS 2021 - DORNELL SA</v>
          </cell>
          <cell r="C573">
            <v>1180.5</v>
          </cell>
          <cell r="D573">
            <v>4961.625</v>
          </cell>
        </row>
        <row r="574">
          <cell r="A574">
            <v>168001</v>
          </cell>
          <cell r="B574" t="str">
            <v>SOMOS ENERGIA SRL</v>
          </cell>
          <cell r="C574">
            <v>4037.5</v>
          </cell>
          <cell r="D574">
            <v>10142.5</v>
          </cell>
        </row>
        <row r="575">
          <cell r="A575">
            <v>950745</v>
          </cell>
          <cell r="B575" t="str">
            <v>EMFACO - MORENO (II)</v>
          </cell>
          <cell r="C575">
            <v>2905.461538461539</v>
          </cell>
          <cell r="D575">
            <v>14027.07692307692</v>
          </cell>
        </row>
        <row r="576">
          <cell r="A576">
            <v>967590</v>
          </cell>
          <cell r="B576" t="str">
            <v>LOMFAKO S.A. (II)</v>
          </cell>
          <cell r="C576">
            <v>59.666666666666657</v>
          </cell>
          <cell r="D576">
            <v>3494</v>
          </cell>
        </row>
        <row r="577">
          <cell r="A577">
            <v>990815</v>
          </cell>
          <cell r="B577" t="str">
            <v>BAJA - SERVINORTE LOS NIETOS</v>
          </cell>
          <cell r="C577">
            <v>9544.6</v>
          </cell>
          <cell r="D577">
            <v>16538.2</v>
          </cell>
        </row>
        <row r="578">
          <cell r="A578">
            <v>990918</v>
          </cell>
          <cell r="B578" t="str">
            <v>BAJA - FRANDINO MIGUEL, VICTOR, DARIO Y</v>
          </cell>
          <cell r="C578">
            <v>2717.727272727273</v>
          </cell>
          <cell r="D578">
            <v>5045.636363636364</v>
          </cell>
        </row>
        <row r="579">
          <cell r="A579">
            <v>990938</v>
          </cell>
          <cell r="B579" t="str">
            <v>FRANCISCO GADALETA</v>
          </cell>
          <cell r="C579">
            <v>2012.8</v>
          </cell>
          <cell r="D579">
            <v>6456.4</v>
          </cell>
        </row>
        <row r="580">
          <cell r="A580">
            <v>991032</v>
          </cell>
          <cell r="B580" t="str">
            <v>BAJA - GROSS HERMANOS S C C</v>
          </cell>
          <cell r="C580">
            <v>452</v>
          </cell>
          <cell r="D580">
            <v>3244</v>
          </cell>
        </row>
        <row r="581">
          <cell r="A581">
            <v>991075</v>
          </cell>
          <cell r="B581" t="str">
            <v>BAJA - TRENQUE LAUQUEN CARLOS NESTOR FABIAN</v>
          </cell>
          <cell r="C581">
            <v>910.22222222222217</v>
          </cell>
          <cell r="D581">
            <v>2032.8888888888889</v>
          </cell>
        </row>
        <row r="582">
          <cell r="A582">
            <v>991672</v>
          </cell>
          <cell r="B582" t="str">
            <v>BAJA - PETROLERA SAN JUAN S.A. - DUARTE QUIROS</v>
          </cell>
          <cell r="C582">
            <v>2281.125</v>
          </cell>
          <cell r="D582">
            <v>5603.125</v>
          </cell>
        </row>
        <row r="583">
          <cell r="A583">
            <v>991784</v>
          </cell>
          <cell r="B583" t="str">
            <v>BAJA - SERGIO Y DANIEL REY SRL</v>
          </cell>
          <cell r="C583">
            <v>1332.333333333333</v>
          </cell>
          <cell r="D583">
            <v>5251</v>
          </cell>
        </row>
        <row r="584">
          <cell r="A584">
            <v>992361</v>
          </cell>
          <cell r="B584" t="str">
            <v>CORS PANAMERICANA</v>
          </cell>
          <cell r="C584">
            <v>1852</v>
          </cell>
          <cell r="D584">
            <v>13652.75</v>
          </cell>
        </row>
        <row r="585">
          <cell r="A585">
            <v>992365</v>
          </cell>
          <cell r="B585" t="str">
            <v>BAJA - CORS ECHEVERRIA</v>
          </cell>
          <cell r="C585">
            <v>2382.7777777777778</v>
          </cell>
          <cell r="D585">
            <v>14762.55555555556</v>
          </cell>
        </row>
        <row r="586">
          <cell r="A586">
            <v>992373</v>
          </cell>
          <cell r="B586" t="str">
            <v>BAJA - CORS CARAFFA</v>
          </cell>
          <cell r="C586">
            <v>3257.4</v>
          </cell>
          <cell r="D586">
            <v>10321.799999999999</v>
          </cell>
        </row>
        <row r="587">
          <cell r="A587">
            <v>993883</v>
          </cell>
          <cell r="B587" t="str">
            <v>BAJA - SERVI OESTE</v>
          </cell>
          <cell r="C587">
            <v>5691.5</v>
          </cell>
          <cell r="D587">
            <v>7084</v>
          </cell>
        </row>
        <row r="588">
          <cell r="A588">
            <v>996245</v>
          </cell>
          <cell r="B588" t="str">
            <v>BAJA - CORS JARA</v>
          </cell>
          <cell r="C588">
            <v>5248.5</v>
          </cell>
          <cell r="D588">
            <v>10800</v>
          </cell>
        </row>
        <row r="589">
          <cell r="A589">
            <v>996247</v>
          </cell>
          <cell r="B589" t="str">
            <v>BAJA - CORS MORENO</v>
          </cell>
          <cell r="C589">
            <v>4061.5</v>
          </cell>
          <cell r="D589">
            <v>9384</v>
          </cell>
        </row>
        <row r="590">
          <cell r="A590">
            <v>996517</v>
          </cell>
          <cell r="B590" t="str">
            <v>BAJA - SUR COMBUSTIBLES S.R.L.</v>
          </cell>
          <cell r="C590">
            <v>3624.666666666667</v>
          </cell>
          <cell r="D590">
            <v>10454.66666666667</v>
          </cell>
        </row>
        <row r="591">
          <cell r="A591">
            <v>996932</v>
          </cell>
          <cell r="B591" t="str">
            <v>BAJA - INACO S.A.</v>
          </cell>
          <cell r="C591">
            <v>2556.5833333333339</v>
          </cell>
          <cell r="D591">
            <v>10382.33333333333</v>
          </cell>
        </row>
        <row r="592">
          <cell r="A592">
            <v>997138</v>
          </cell>
          <cell r="B592" t="str">
            <v>BAJA ENDAPLA SA</v>
          </cell>
          <cell r="C592">
            <v>2266.0833333333339</v>
          </cell>
          <cell r="D592">
            <v>4912.416666666667</v>
          </cell>
        </row>
        <row r="593">
          <cell r="A593">
            <v>997601</v>
          </cell>
          <cell r="B593" t="str">
            <v>BAJA - GAS VICTORIA S.A.</v>
          </cell>
          <cell r="C593">
            <v>4325.7142857142853</v>
          </cell>
          <cell r="D593">
            <v>13684.28571428571</v>
          </cell>
        </row>
        <row r="594">
          <cell r="A594">
            <v>997603</v>
          </cell>
          <cell r="B594" t="str">
            <v>BAJA - DALTRE SRL</v>
          </cell>
          <cell r="C594">
            <v>5724.7142857142853</v>
          </cell>
          <cell r="D594">
            <v>8012.2857142857147</v>
          </cell>
        </row>
        <row r="595">
          <cell r="A595">
            <v>997606</v>
          </cell>
          <cell r="B595" t="str">
            <v>BAJA - ADD S.R.L.</v>
          </cell>
          <cell r="C595">
            <v>329.14285714285722</v>
          </cell>
          <cell r="D595">
            <v>3485.428571428572</v>
          </cell>
        </row>
        <row r="596">
          <cell r="A596">
            <v>999678</v>
          </cell>
          <cell r="B596" t="str">
            <v>BAJA - SC CHICOM</v>
          </cell>
          <cell r="C596">
            <v>1233.166666666667</v>
          </cell>
          <cell r="D596">
            <v>4017.3333333333339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topLeftCell="A7" workbookViewId="0">
      <selection activeCell="B25" sqref="B25:H25"/>
    </sheetView>
  </sheetViews>
  <sheetFormatPr baseColWidth="10" defaultColWidth="8.7265625" defaultRowHeight="14.5" x14ac:dyDescent="0.35"/>
  <cols>
    <col min="2" max="2" width="18.54296875" bestFit="1" customWidth="1"/>
    <col min="3" max="7" width="15.6328125" bestFit="1" customWidth="1"/>
    <col min="8" max="8" width="17.453125" bestFit="1" customWidth="1"/>
    <col min="9" max="9" width="18.6328125" bestFit="1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55</v>
      </c>
      <c r="J1" s="1" t="s">
        <v>56</v>
      </c>
    </row>
    <row r="2" spans="1:10" x14ac:dyDescent="0.35">
      <c r="A2">
        <v>151217</v>
      </c>
      <c r="B2" t="s">
        <v>57</v>
      </c>
      <c r="C2">
        <v>7</v>
      </c>
      <c r="D2">
        <v>7</v>
      </c>
      <c r="E2">
        <v>7</v>
      </c>
      <c r="F2">
        <v>7</v>
      </c>
      <c r="G2">
        <v>7</v>
      </c>
      <c r="H2" t="s">
        <v>61</v>
      </c>
      <c r="I2" s="2">
        <f>VLOOKUP(A2,[1]Sheet1!$A$2:$E$596,5,FALSE)</f>
        <v>0</v>
      </c>
      <c r="J2">
        <f>VLOOKUP(A2,[1]Sheet1!$A$2:$F$596,6,FALSE)</f>
        <v>0</v>
      </c>
    </row>
    <row r="3" spans="1:10" x14ac:dyDescent="0.35">
      <c r="A3">
        <v>152340</v>
      </c>
      <c r="B3" t="s">
        <v>70</v>
      </c>
      <c r="C3">
        <v>7</v>
      </c>
      <c r="D3">
        <v>7</v>
      </c>
      <c r="E3">
        <v>7</v>
      </c>
      <c r="F3">
        <v>7</v>
      </c>
      <c r="G3">
        <v>7</v>
      </c>
      <c r="H3" t="s">
        <v>61</v>
      </c>
      <c r="I3" s="2">
        <f>VLOOKUP(A3,[1]Sheet1!$A$2:$E$596,5,FALSE)</f>
        <v>0</v>
      </c>
      <c r="J3">
        <f>VLOOKUP(A3,[1]Sheet1!$A$2:$F$596,6,FALSE)</f>
        <v>0</v>
      </c>
    </row>
    <row r="4" spans="1:10" x14ac:dyDescent="0.35">
      <c r="A4">
        <v>152342</v>
      </c>
      <c r="B4" t="s">
        <v>71</v>
      </c>
      <c r="C4">
        <v>7</v>
      </c>
      <c r="D4">
        <v>7</v>
      </c>
      <c r="E4">
        <v>7</v>
      </c>
      <c r="F4">
        <v>7</v>
      </c>
      <c r="G4">
        <v>7</v>
      </c>
      <c r="H4" t="s">
        <v>61</v>
      </c>
      <c r="I4" s="2">
        <f>VLOOKUP(A4,[1]Sheet1!$A$2:$E$596,5,FALSE)</f>
        <v>0</v>
      </c>
      <c r="J4">
        <f>VLOOKUP(A4,[1]Sheet1!$A$2:$F$596,6,FALSE)</f>
        <v>0</v>
      </c>
    </row>
    <row r="5" spans="1:10" x14ac:dyDescent="0.35">
      <c r="A5">
        <v>167953</v>
      </c>
      <c r="B5" t="s">
        <v>60</v>
      </c>
      <c r="C5">
        <v>7</v>
      </c>
      <c r="D5">
        <v>7</v>
      </c>
      <c r="E5">
        <v>7</v>
      </c>
      <c r="F5">
        <v>7</v>
      </c>
      <c r="G5">
        <v>7</v>
      </c>
      <c r="H5" t="s">
        <v>61</v>
      </c>
      <c r="I5" s="2">
        <f>VLOOKUP(A5,[1]Sheet1!$A$2:$E$596,5,FALSE)</f>
        <v>0</v>
      </c>
      <c r="J5">
        <f>VLOOKUP(A5,[1]Sheet1!$A$2:$F$596,6,FALSE)</f>
        <v>0</v>
      </c>
    </row>
    <row r="6" spans="1:10" x14ac:dyDescent="0.35">
      <c r="A6">
        <v>167892</v>
      </c>
      <c r="B6" t="s">
        <v>69</v>
      </c>
      <c r="C6">
        <v>7</v>
      </c>
      <c r="D6">
        <v>7</v>
      </c>
      <c r="E6">
        <v>7</v>
      </c>
      <c r="F6">
        <v>7</v>
      </c>
      <c r="G6">
        <v>7</v>
      </c>
      <c r="H6" t="s">
        <v>61</v>
      </c>
      <c r="I6" s="2">
        <f>VLOOKUP(A6,[1]Sheet1!$A$2:$E$596,5,FALSE)</f>
        <v>0</v>
      </c>
      <c r="J6">
        <f>VLOOKUP(A6,[1]Sheet1!$A$2:$F$596,6,FALSE)</f>
        <v>0</v>
      </c>
    </row>
    <row r="7" spans="1:10" x14ac:dyDescent="0.35">
      <c r="A7">
        <v>167894</v>
      </c>
      <c r="B7" t="s">
        <v>68</v>
      </c>
      <c r="C7">
        <v>7</v>
      </c>
      <c r="D7">
        <v>7</v>
      </c>
      <c r="E7">
        <v>7</v>
      </c>
      <c r="F7">
        <v>7</v>
      </c>
      <c r="G7">
        <v>7</v>
      </c>
      <c r="H7" t="s">
        <v>61</v>
      </c>
      <c r="I7" s="2">
        <f>VLOOKUP(A7,[1]Sheet1!$A$2:$E$596,5,FALSE)</f>
        <v>0</v>
      </c>
      <c r="J7">
        <f>VLOOKUP(A7,[1]Sheet1!$A$2:$F$596,6,FALSE)</f>
        <v>0</v>
      </c>
    </row>
    <row r="8" spans="1:10" x14ac:dyDescent="0.35">
      <c r="A8">
        <v>167933</v>
      </c>
      <c r="B8" t="s">
        <v>59</v>
      </c>
      <c r="C8">
        <v>7</v>
      </c>
      <c r="D8">
        <v>7</v>
      </c>
      <c r="E8">
        <v>7</v>
      </c>
      <c r="F8">
        <v>7</v>
      </c>
      <c r="G8">
        <v>7</v>
      </c>
      <c r="H8" t="s">
        <v>61</v>
      </c>
      <c r="I8" s="2">
        <f>VLOOKUP(A8,[1]Sheet1!$A$2:$E$596,5,FALSE)</f>
        <v>0</v>
      </c>
      <c r="J8">
        <f>VLOOKUP(A8,[1]Sheet1!$A$2:$F$596,6,FALSE)</f>
        <v>0</v>
      </c>
    </row>
    <row r="9" spans="1:10" x14ac:dyDescent="0.35">
      <c r="A9">
        <v>167932</v>
      </c>
      <c r="B9" t="s">
        <v>58</v>
      </c>
      <c r="C9">
        <v>7</v>
      </c>
      <c r="D9">
        <v>7</v>
      </c>
      <c r="E9">
        <v>7</v>
      </c>
      <c r="F9">
        <v>7</v>
      </c>
      <c r="G9">
        <v>7</v>
      </c>
      <c r="H9" t="s">
        <v>61</v>
      </c>
      <c r="I9" s="2">
        <f>VLOOKUP(A9,[1]Sheet1!$A$2:$E$596,5,FALSE)</f>
        <v>0</v>
      </c>
      <c r="J9">
        <f>VLOOKUP(A9,[1]Sheet1!$A$2:$F$596,6,FALSE)</f>
        <v>0</v>
      </c>
    </row>
    <row r="10" spans="1:10" x14ac:dyDescent="0.35">
      <c r="A10">
        <v>152320</v>
      </c>
      <c r="B10" t="s">
        <v>34</v>
      </c>
      <c r="C10" t="s">
        <v>25</v>
      </c>
      <c r="D10" t="s">
        <v>31</v>
      </c>
      <c r="E10" t="s">
        <v>31</v>
      </c>
      <c r="F10" t="s">
        <v>31</v>
      </c>
      <c r="G10" t="s">
        <v>25</v>
      </c>
      <c r="H10" t="s">
        <v>62</v>
      </c>
      <c r="I10" s="2">
        <f>VLOOKUP(A10,[1]Sheet1!$A$2:$E$596,5,FALSE)</f>
        <v>0</v>
      </c>
      <c r="J10">
        <f>VLOOKUP(A10,[1]Sheet1!$A$2:$F$596,6,FALSE)</f>
        <v>0</v>
      </c>
    </row>
    <row r="11" spans="1:10" x14ac:dyDescent="0.35">
      <c r="A11">
        <v>152422</v>
      </c>
      <c r="B11" t="s">
        <v>47</v>
      </c>
      <c r="C11" t="s">
        <v>25</v>
      </c>
      <c r="D11" t="s">
        <v>31</v>
      </c>
      <c r="E11" t="s">
        <v>31</v>
      </c>
      <c r="F11" t="s">
        <v>31</v>
      </c>
      <c r="G11" t="s">
        <v>25</v>
      </c>
      <c r="H11" t="s">
        <v>62</v>
      </c>
      <c r="I11" s="2">
        <f>VLOOKUP(A11,[1]Sheet1!$A$2:$E$596,5,FALSE)</f>
        <v>0</v>
      </c>
      <c r="J11">
        <f>VLOOKUP(A11,[1]Sheet1!$A$2:$F$596,6,FALSE)</f>
        <v>0</v>
      </c>
    </row>
    <row r="12" spans="1:10" x14ac:dyDescent="0.35">
      <c r="A12">
        <v>152332</v>
      </c>
      <c r="B12" t="s">
        <v>51</v>
      </c>
      <c r="C12" t="s">
        <v>25</v>
      </c>
      <c r="D12" t="s">
        <v>31</v>
      </c>
      <c r="E12" t="s">
        <v>31</v>
      </c>
      <c r="F12" t="s">
        <v>31</v>
      </c>
      <c r="G12" t="s">
        <v>25</v>
      </c>
      <c r="H12" t="s">
        <v>62</v>
      </c>
      <c r="I12" s="2">
        <f>VLOOKUP(A12,[1]Sheet1!$A$2:$E$596,5,FALSE)</f>
        <v>0</v>
      </c>
      <c r="J12">
        <f>VLOOKUP(A12,[1]Sheet1!$A$2:$F$596,6,FALSE)</f>
        <v>0</v>
      </c>
    </row>
    <row r="13" spans="1:10" x14ac:dyDescent="0.35">
      <c r="A13">
        <v>152271</v>
      </c>
      <c r="B13" t="s">
        <v>48</v>
      </c>
      <c r="C13" t="s">
        <v>25</v>
      </c>
      <c r="D13" t="s">
        <v>9</v>
      </c>
      <c r="E13" t="s">
        <v>11</v>
      </c>
      <c r="F13" t="s">
        <v>25</v>
      </c>
      <c r="G13" t="s">
        <v>11</v>
      </c>
      <c r="H13" t="s">
        <v>62</v>
      </c>
      <c r="I13" s="2">
        <f>VLOOKUP(A13,[1]Sheet1!$A$2:$E$596,5,FALSE)</f>
        <v>0</v>
      </c>
      <c r="J13">
        <f>VLOOKUP(A13,[1]Sheet1!$A$2:$F$596,6,FALSE)</f>
        <v>0</v>
      </c>
    </row>
    <row r="14" spans="1:10" x14ac:dyDescent="0.35">
      <c r="A14">
        <v>152274</v>
      </c>
      <c r="B14" t="s">
        <v>30</v>
      </c>
      <c r="C14" t="s">
        <v>25</v>
      </c>
      <c r="D14" t="s">
        <v>11</v>
      </c>
      <c r="E14" t="s">
        <v>25</v>
      </c>
      <c r="F14" t="s">
        <v>31</v>
      </c>
      <c r="G14" t="s">
        <v>11</v>
      </c>
      <c r="H14" t="s">
        <v>62</v>
      </c>
      <c r="I14" s="2">
        <f>VLOOKUP(A14,[1]Sheet1!$A$2:$E$596,5,FALSE)</f>
        <v>0</v>
      </c>
      <c r="J14">
        <f>VLOOKUP(A14,[1]Sheet1!$A$2:$F$596,6,FALSE)</f>
        <v>0</v>
      </c>
    </row>
    <row r="15" spans="1:10" x14ac:dyDescent="0.35">
      <c r="A15">
        <v>152379</v>
      </c>
      <c r="B15" t="s">
        <v>44</v>
      </c>
      <c r="C15" t="s">
        <v>25</v>
      </c>
      <c r="D15" t="s">
        <v>31</v>
      </c>
      <c r="E15" t="s">
        <v>31</v>
      </c>
      <c r="F15" t="s">
        <v>31</v>
      </c>
      <c r="G15" t="s">
        <v>31</v>
      </c>
      <c r="H15" t="s">
        <v>62</v>
      </c>
      <c r="I15" s="2">
        <f>VLOOKUP(A15,[1]Sheet1!$A$2:$E$596,5,FALSE)</f>
        <v>0</v>
      </c>
      <c r="J15">
        <f>VLOOKUP(A15,[1]Sheet1!$A$2:$F$596,6,FALSE)</f>
        <v>0</v>
      </c>
    </row>
    <row r="16" spans="1:10" x14ac:dyDescent="0.35">
      <c r="A16">
        <v>152292</v>
      </c>
      <c r="B16" t="s">
        <v>50</v>
      </c>
      <c r="C16" t="s">
        <v>25</v>
      </c>
      <c r="D16" t="s">
        <v>31</v>
      </c>
      <c r="E16" t="s">
        <v>31</v>
      </c>
      <c r="F16" t="s">
        <v>31</v>
      </c>
      <c r="G16" t="s">
        <v>25</v>
      </c>
      <c r="H16" t="s">
        <v>62</v>
      </c>
      <c r="I16" s="2">
        <f>VLOOKUP(A16,[1]Sheet1!$A$2:$E$596,5,FALSE)</f>
        <v>0</v>
      </c>
      <c r="J16">
        <f>VLOOKUP(A16,[1]Sheet1!$A$2:$F$596,6,FALSE)</f>
        <v>0</v>
      </c>
    </row>
    <row r="17" spans="1:10" x14ac:dyDescent="0.35">
      <c r="A17">
        <v>152257</v>
      </c>
      <c r="B17" t="s">
        <v>33</v>
      </c>
      <c r="C17" t="s">
        <v>25</v>
      </c>
      <c r="D17" t="s">
        <v>31</v>
      </c>
      <c r="E17" t="s">
        <v>31</v>
      </c>
      <c r="F17" t="s">
        <v>31</v>
      </c>
      <c r="G17" t="s">
        <v>31</v>
      </c>
      <c r="H17" t="s">
        <v>62</v>
      </c>
      <c r="I17" s="2">
        <f>VLOOKUP(A17,[1]Sheet1!$A$2:$E$596,5,FALSE)</f>
        <v>0</v>
      </c>
      <c r="J17">
        <f>VLOOKUP(A17,[1]Sheet1!$A$2:$F$596,6,FALSE)</f>
        <v>0</v>
      </c>
    </row>
    <row r="18" spans="1:10" x14ac:dyDescent="0.35">
      <c r="A18">
        <v>152355</v>
      </c>
      <c r="B18" t="s">
        <v>45</v>
      </c>
      <c r="C18" t="s">
        <v>9</v>
      </c>
      <c r="D18" t="s">
        <v>25</v>
      </c>
      <c r="E18" t="s">
        <v>9</v>
      </c>
      <c r="F18" t="s">
        <v>9</v>
      </c>
      <c r="G18" t="s">
        <v>9</v>
      </c>
      <c r="H18" t="s">
        <v>63</v>
      </c>
      <c r="I18" s="2">
        <f>VLOOKUP(A18,[1]Sheet1!$A$2:$E$596,5,FALSE)</f>
        <v>0</v>
      </c>
      <c r="J18">
        <f>VLOOKUP(A18,[1]Sheet1!$A$2:$F$596,6,FALSE)</f>
        <v>0</v>
      </c>
    </row>
    <row r="19" spans="1:10" x14ac:dyDescent="0.35">
      <c r="A19">
        <v>152287</v>
      </c>
      <c r="B19" t="s">
        <v>39</v>
      </c>
      <c r="C19" t="s">
        <v>9</v>
      </c>
      <c r="D19" t="s">
        <v>25</v>
      </c>
      <c r="E19" t="s">
        <v>9</v>
      </c>
      <c r="F19" t="s">
        <v>9</v>
      </c>
      <c r="G19" t="s">
        <v>9</v>
      </c>
      <c r="H19" t="s">
        <v>63</v>
      </c>
      <c r="I19" s="2">
        <f>VLOOKUP(A19,[1]Sheet1!$A$2:$E$596,5,FALSE)</f>
        <v>0</v>
      </c>
      <c r="J19">
        <f>VLOOKUP(A19,[1]Sheet1!$A$2:$F$596,6,FALSE)</f>
        <v>0</v>
      </c>
    </row>
    <row r="20" spans="1:10" x14ac:dyDescent="0.35">
      <c r="A20">
        <v>152283</v>
      </c>
      <c r="B20" t="s">
        <v>43</v>
      </c>
      <c r="C20" t="s">
        <v>25</v>
      </c>
      <c r="D20" t="s">
        <v>25</v>
      </c>
      <c r="E20" t="s">
        <v>9</v>
      </c>
      <c r="F20" t="s">
        <v>9</v>
      </c>
      <c r="G20" t="s">
        <v>31</v>
      </c>
      <c r="H20" t="s">
        <v>63</v>
      </c>
      <c r="I20" s="2">
        <f>VLOOKUP(A20,[1]Sheet1!$A$2:$E$596,5,FALSE)</f>
        <v>0</v>
      </c>
      <c r="J20">
        <f>VLOOKUP(A20,[1]Sheet1!$A$2:$F$596,6,FALSE)</f>
        <v>0</v>
      </c>
    </row>
    <row r="21" spans="1:10" x14ac:dyDescent="0.35">
      <c r="A21">
        <v>152263</v>
      </c>
      <c r="B21" t="s">
        <v>29</v>
      </c>
      <c r="C21" t="s">
        <v>9</v>
      </c>
      <c r="D21" t="s">
        <v>25</v>
      </c>
      <c r="E21" t="s">
        <v>9</v>
      </c>
      <c r="F21" t="s">
        <v>9</v>
      </c>
      <c r="G21" t="s">
        <v>9</v>
      </c>
      <c r="H21" t="s">
        <v>63</v>
      </c>
      <c r="I21" s="2">
        <f>VLOOKUP(A21,[1]Sheet1!$A$2:$E$596,5,FALSE)</f>
        <v>0</v>
      </c>
      <c r="J21">
        <f>VLOOKUP(A21,[1]Sheet1!$A$2:$F$596,6,FALSE)</f>
        <v>0</v>
      </c>
    </row>
    <row r="22" spans="1:10" x14ac:dyDescent="0.35">
      <c r="A22">
        <v>152261</v>
      </c>
      <c r="B22" t="s">
        <v>24</v>
      </c>
      <c r="C22" t="s">
        <v>9</v>
      </c>
      <c r="D22" t="s">
        <v>9</v>
      </c>
      <c r="E22" t="s">
        <v>11</v>
      </c>
      <c r="F22" t="s">
        <v>9</v>
      </c>
      <c r="G22" t="s">
        <v>9</v>
      </c>
      <c r="H22" t="s">
        <v>63</v>
      </c>
      <c r="I22" s="2">
        <f>VLOOKUP(A22,[1]Sheet1!$A$2:$E$596,5,FALSE)</f>
        <v>0</v>
      </c>
      <c r="J22">
        <f>VLOOKUP(A22,[1]Sheet1!$A$2:$F$596,6,FALSE)</f>
        <v>0</v>
      </c>
    </row>
    <row r="23" spans="1:10" x14ac:dyDescent="0.35">
      <c r="A23">
        <v>152306</v>
      </c>
      <c r="B23" t="s">
        <v>42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63</v>
      </c>
      <c r="I23" s="2">
        <f>VLOOKUP(A23,[1]Sheet1!$A$2:$E$596,5,FALSE)</f>
        <v>0</v>
      </c>
      <c r="J23">
        <f>VLOOKUP(A23,[1]Sheet1!$A$2:$F$596,6,FALSE)</f>
        <v>0</v>
      </c>
    </row>
    <row r="24" spans="1:10" x14ac:dyDescent="0.35">
      <c r="A24">
        <v>152324</v>
      </c>
      <c r="B24" t="s">
        <v>28</v>
      </c>
      <c r="C24" t="s">
        <v>25</v>
      </c>
      <c r="D24" t="s">
        <v>9</v>
      </c>
      <c r="E24" t="s">
        <v>9</v>
      </c>
      <c r="F24" t="s">
        <v>9</v>
      </c>
      <c r="G24" t="s">
        <v>9</v>
      </c>
      <c r="H24" t="s">
        <v>63</v>
      </c>
      <c r="I24" s="2">
        <f>VLOOKUP(A24,[1]Sheet1!$A$2:$E$596,5,FALSE)</f>
        <v>0</v>
      </c>
      <c r="J24">
        <f>VLOOKUP(A24,[1]Sheet1!$A$2:$F$596,6,FALSE)</f>
        <v>0</v>
      </c>
    </row>
    <row r="25" spans="1:10" x14ac:dyDescent="0.35">
      <c r="A25">
        <v>168023</v>
      </c>
      <c r="B25" s="5" t="s">
        <v>74</v>
      </c>
      <c r="C25" t="s">
        <v>25</v>
      </c>
      <c r="D25" t="s">
        <v>25</v>
      </c>
      <c r="E25" t="s">
        <v>9</v>
      </c>
      <c r="F25" t="s">
        <v>9</v>
      </c>
      <c r="G25" t="s">
        <v>31</v>
      </c>
      <c r="H25" t="s">
        <v>63</v>
      </c>
      <c r="I25" s="6">
        <v>0</v>
      </c>
      <c r="J25" s="5">
        <v>0</v>
      </c>
    </row>
    <row r="26" spans="1:10" x14ac:dyDescent="0.35">
      <c r="A26">
        <v>152349</v>
      </c>
      <c r="B26" t="s">
        <v>21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63</v>
      </c>
      <c r="I26" s="2">
        <f>VLOOKUP(A26,[1]Sheet1!$A$2:$E$596,5,FALSE)</f>
        <v>0</v>
      </c>
      <c r="J26">
        <f>VLOOKUP(A26,[1]Sheet1!$A$2:$F$596,6,FALSE)</f>
        <v>0</v>
      </c>
    </row>
    <row r="27" spans="1:10" x14ac:dyDescent="0.35">
      <c r="A27">
        <v>152416</v>
      </c>
      <c r="B27" t="s">
        <v>49</v>
      </c>
      <c r="C27" t="s">
        <v>11</v>
      </c>
      <c r="D27" t="s">
        <v>11</v>
      </c>
      <c r="E27" t="s">
        <v>25</v>
      </c>
      <c r="F27" t="s">
        <v>11</v>
      </c>
      <c r="G27" t="s">
        <v>11</v>
      </c>
      <c r="H27" t="s">
        <v>64</v>
      </c>
      <c r="I27" s="2">
        <f>VLOOKUP(A27,[1]Sheet1!$A$2:$E$596,5,FALSE)</f>
        <v>0</v>
      </c>
      <c r="J27">
        <f>VLOOKUP(A27,[1]Sheet1!$A$2:$F$596,6,FALSE)</f>
        <v>0</v>
      </c>
    </row>
    <row r="28" spans="1:10" x14ac:dyDescent="0.35">
      <c r="A28">
        <v>152347</v>
      </c>
      <c r="B28" t="s">
        <v>73</v>
      </c>
      <c r="C28" t="s">
        <v>11</v>
      </c>
      <c r="D28" t="s">
        <v>11</v>
      </c>
      <c r="E28" t="s">
        <v>11</v>
      </c>
      <c r="F28" t="s">
        <v>25</v>
      </c>
      <c r="G28" t="s">
        <v>11</v>
      </c>
      <c r="H28" t="s">
        <v>64</v>
      </c>
      <c r="I28" s="2">
        <f>VLOOKUP(A28,[1]Sheet1!$A$2:$E$596,5,FALSE)</f>
        <v>0</v>
      </c>
      <c r="J28">
        <f>VLOOKUP(A28,[1]Sheet1!$A$2:$F$596,6,FALSE)</f>
        <v>0</v>
      </c>
    </row>
    <row r="29" spans="1:10" x14ac:dyDescent="0.35">
      <c r="A29">
        <v>151884</v>
      </c>
      <c r="B29" t="s">
        <v>26</v>
      </c>
      <c r="C29" t="s">
        <v>11</v>
      </c>
      <c r="D29" t="s">
        <v>11</v>
      </c>
      <c r="E29" t="s">
        <v>11</v>
      </c>
      <c r="F29" t="s">
        <v>25</v>
      </c>
      <c r="G29" t="s">
        <v>11</v>
      </c>
      <c r="H29" t="s">
        <v>64</v>
      </c>
      <c r="I29" s="2">
        <f>VLOOKUP(A29,[1]Sheet1!$A$2:$E$596,5,FALSE)</f>
        <v>0</v>
      </c>
      <c r="J29">
        <f>VLOOKUP(A29,[1]Sheet1!$A$2:$F$596,6,FALSE)</f>
        <v>0</v>
      </c>
    </row>
    <row r="30" spans="1:10" x14ac:dyDescent="0.35">
      <c r="A30">
        <v>152444</v>
      </c>
      <c r="B30" t="s">
        <v>27</v>
      </c>
      <c r="C30" t="s">
        <v>11</v>
      </c>
      <c r="D30" t="s">
        <v>11</v>
      </c>
      <c r="E30" t="s">
        <v>25</v>
      </c>
      <c r="F30" t="s">
        <v>11</v>
      </c>
      <c r="G30" t="s">
        <v>11</v>
      </c>
      <c r="H30" t="s">
        <v>64</v>
      </c>
      <c r="I30" s="2">
        <f>VLOOKUP(A30,[1]Sheet1!$A$2:$E$596,5,FALSE)</f>
        <v>0</v>
      </c>
      <c r="J30">
        <f>VLOOKUP(A30,[1]Sheet1!$A$2:$F$596,6,FALSE)</f>
        <v>0</v>
      </c>
    </row>
    <row r="31" spans="1:10" x14ac:dyDescent="0.35">
      <c r="A31">
        <v>152432</v>
      </c>
      <c r="B31" t="s">
        <v>72</v>
      </c>
      <c r="C31" t="s">
        <v>11</v>
      </c>
      <c r="D31" t="s">
        <v>9</v>
      </c>
      <c r="E31" t="s">
        <v>11</v>
      </c>
      <c r="F31" t="s">
        <v>25</v>
      </c>
      <c r="G31" t="s">
        <v>11</v>
      </c>
      <c r="H31" t="s">
        <v>64</v>
      </c>
      <c r="I31" s="2">
        <f>VLOOKUP(A31,[1]Sheet1!$A$2:$E$596,5,FALSE)</f>
        <v>0</v>
      </c>
      <c r="J31">
        <f>VLOOKUP(A31,[1]Sheet1!$A$2:$F$596,6,FALSE)</f>
        <v>0</v>
      </c>
    </row>
    <row r="32" spans="1:10" x14ac:dyDescent="0.35">
      <c r="A32">
        <v>152267</v>
      </c>
      <c r="B32" t="s">
        <v>36</v>
      </c>
      <c r="C32" t="s">
        <v>11</v>
      </c>
      <c r="D32" t="s">
        <v>9</v>
      </c>
      <c r="E32" t="s">
        <v>11</v>
      </c>
      <c r="F32" t="s">
        <v>9</v>
      </c>
      <c r="G32" t="s">
        <v>9</v>
      </c>
      <c r="H32" t="s">
        <v>64</v>
      </c>
      <c r="I32" s="2">
        <f>VLOOKUP(A32,[1]Sheet1!$A$2:$E$596,5,FALSE)</f>
        <v>0</v>
      </c>
      <c r="J32">
        <f>VLOOKUP(A32,[1]Sheet1!$A$2:$F$596,6,FALSE)</f>
        <v>0</v>
      </c>
    </row>
    <row r="33" spans="1:10" x14ac:dyDescent="0.35">
      <c r="A33">
        <v>151809</v>
      </c>
      <c r="B33" t="s">
        <v>35</v>
      </c>
      <c r="C33" t="s">
        <v>11</v>
      </c>
      <c r="D33" t="s">
        <v>11</v>
      </c>
      <c r="E33" t="s">
        <v>25</v>
      </c>
      <c r="F33" t="s">
        <v>25</v>
      </c>
      <c r="G33" t="s">
        <v>11</v>
      </c>
      <c r="H33" t="s">
        <v>64</v>
      </c>
      <c r="I33" s="2">
        <f>VLOOKUP(A33,[1]Sheet1!$A$2:$E$596,5,FALSE)</f>
        <v>0</v>
      </c>
      <c r="J33">
        <f>VLOOKUP(A33,[1]Sheet1!$A$2:$F$596,6,FALSE)</f>
        <v>0</v>
      </c>
    </row>
    <row r="34" spans="1:10" x14ac:dyDescent="0.35">
      <c r="A34">
        <v>152406</v>
      </c>
      <c r="B34" t="s">
        <v>54</v>
      </c>
      <c r="C34" t="s">
        <v>11</v>
      </c>
      <c r="D34" t="s">
        <v>11</v>
      </c>
      <c r="E34" t="s">
        <v>25</v>
      </c>
      <c r="F34" t="s">
        <v>25</v>
      </c>
      <c r="G34" t="s">
        <v>11</v>
      </c>
      <c r="H34" t="s">
        <v>64</v>
      </c>
      <c r="I34" s="2">
        <f>VLOOKUP(A34,[1]Sheet1!$A$2:$E$596,5,FALSE)</f>
        <v>0</v>
      </c>
      <c r="J34">
        <f>VLOOKUP(A34,[1]Sheet1!$A$2:$F$596,6,FALSE)</f>
        <v>0</v>
      </c>
    </row>
    <row r="35" spans="1:10" x14ac:dyDescent="0.35">
      <c r="A35">
        <v>152259</v>
      </c>
      <c r="B35" t="s">
        <v>37</v>
      </c>
      <c r="C35" t="s">
        <v>11</v>
      </c>
      <c r="D35" t="s">
        <v>9</v>
      </c>
      <c r="E35" t="s">
        <v>11</v>
      </c>
      <c r="F35" t="s">
        <v>11</v>
      </c>
      <c r="G35" t="s">
        <v>11</v>
      </c>
      <c r="H35" t="s">
        <v>64</v>
      </c>
      <c r="I35" s="2">
        <f>VLOOKUP(A35,[1]Sheet1!$A$2:$E$596,5,FALSE)</f>
        <v>0</v>
      </c>
      <c r="J35">
        <f>VLOOKUP(A35,[1]Sheet1!$A$2:$F$596,6,FALSE)</f>
        <v>0</v>
      </c>
    </row>
    <row r="36" spans="1:10" x14ac:dyDescent="0.35">
      <c r="A36">
        <v>152304</v>
      </c>
      <c r="B36" t="s">
        <v>53</v>
      </c>
      <c r="C36" t="s">
        <v>11</v>
      </c>
      <c r="D36" t="s">
        <v>9</v>
      </c>
      <c r="E36" t="s">
        <v>11</v>
      </c>
      <c r="F36" t="s">
        <v>11</v>
      </c>
      <c r="G36" t="s">
        <v>11</v>
      </c>
      <c r="H36" t="s">
        <v>64</v>
      </c>
      <c r="I36" s="2">
        <f>VLOOKUP(A36,[1]Sheet1!$A$2:$E$596,5,FALSE)</f>
        <v>0</v>
      </c>
      <c r="J36">
        <f>VLOOKUP(A36,[1]Sheet1!$A$2:$F$596,6,FALSE)</f>
        <v>0</v>
      </c>
    </row>
    <row r="37" spans="1:10" x14ac:dyDescent="0.35">
      <c r="A37">
        <v>152336</v>
      </c>
      <c r="B37" t="s">
        <v>23</v>
      </c>
      <c r="C37" t="s">
        <v>11</v>
      </c>
      <c r="D37" t="s">
        <v>9</v>
      </c>
      <c r="E37" t="s">
        <v>11</v>
      </c>
      <c r="F37" t="s">
        <v>9</v>
      </c>
      <c r="G37" t="s">
        <v>9</v>
      </c>
      <c r="H37" t="s">
        <v>64</v>
      </c>
      <c r="I37" s="2">
        <f>VLOOKUP(A37,[1]Sheet1!$A$2:$E$596,5,FALSE)</f>
        <v>0</v>
      </c>
      <c r="J37">
        <f>VLOOKUP(A37,[1]Sheet1!$A$2:$F$596,6,FALSE)</f>
        <v>0</v>
      </c>
    </row>
    <row r="38" spans="1:10" x14ac:dyDescent="0.35">
      <c r="A38">
        <v>152290</v>
      </c>
      <c r="B38" t="s">
        <v>46</v>
      </c>
      <c r="C38" t="s">
        <v>11</v>
      </c>
      <c r="D38" t="s">
        <v>11</v>
      </c>
      <c r="E38" t="s">
        <v>11</v>
      </c>
      <c r="F38" t="s">
        <v>25</v>
      </c>
      <c r="G38" t="s">
        <v>11</v>
      </c>
      <c r="H38" t="s">
        <v>64</v>
      </c>
      <c r="I38" s="2">
        <f>VLOOKUP(A38,[1]Sheet1!$A$2:$E$596,5,FALSE)</f>
        <v>0</v>
      </c>
      <c r="J38">
        <f>VLOOKUP(A38,[1]Sheet1!$A$2:$F$596,6,FALSE)</f>
        <v>0</v>
      </c>
    </row>
    <row r="39" spans="1:10" x14ac:dyDescent="0.35">
      <c r="A39" s="5">
        <v>152316</v>
      </c>
      <c r="B39" s="5" t="s">
        <v>22</v>
      </c>
      <c r="C39" s="5" t="s">
        <v>11</v>
      </c>
      <c r="D39" s="5" t="s">
        <v>11</v>
      </c>
      <c r="E39" s="5" t="s">
        <v>11</v>
      </c>
      <c r="F39" s="5" t="s">
        <v>11</v>
      </c>
      <c r="G39" s="5" t="s">
        <v>11</v>
      </c>
      <c r="H39" s="5" t="s">
        <v>64</v>
      </c>
      <c r="I39" s="6">
        <f>VLOOKUP(A39,[1]Sheet1!$A$2:$E$596,5,FALSE)</f>
        <v>0</v>
      </c>
      <c r="J39" s="5">
        <f>VLOOKUP(A39,[1]Sheet1!$A$2:$F$596,6,FALSE)</f>
        <v>0</v>
      </c>
    </row>
    <row r="40" spans="1:10" x14ac:dyDescent="0.35">
      <c r="A40">
        <v>151990</v>
      </c>
      <c r="B40" t="s">
        <v>52</v>
      </c>
      <c r="C40" t="s">
        <v>11</v>
      </c>
      <c r="D40" t="s">
        <v>31</v>
      </c>
      <c r="E40" t="s">
        <v>31</v>
      </c>
      <c r="F40" t="s">
        <v>31</v>
      </c>
      <c r="G40" t="s">
        <v>25</v>
      </c>
      <c r="H40" t="s">
        <v>65</v>
      </c>
      <c r="I40" s="2">
        <f>VLOOKUP(A40,[1]Sheet1!$A$2:$E$596,5,FALSE)</f>
        <v>0</v>
      </c>
      <c r="J40">
        <f>VLOOKUP(A40,[1]Sheet1!$A$2:$F$596,6,FALSE)</f>
        <v>0</v>
      </c>
    </row>
    <row r="41" spans="1:10" x14ac:dyDescent="0.35">
      <c r="A41">
        <v>152442</v>
      </c>
      <c r="B41" t="s">
        <v>32</v>
      </c>
      <c r="C41" t="s">
        <v>11</v>
      </c>
      <c r="D41" t="s">
        <v>31</v>
      </c>
      <c r="E41" t="s">
        <v>31</v>
      </c>
      <c r="F41" t="s">
        <v>31</v>
      </c>
      <c r="G41" t="s">
        <v>25</v>
      </c>
      <c r="H41" t="s">
        <v>65</v>
      </c>
      <c r="I41" s="2">
        <f>VLOOKUP(A41,[1]Sheet1!$A$2:$E$596,5,FALSE)</f>
        <v>0</v>
      </c>
      <c r="J41">
        <f>VLOOKUP(A41,[1]Sheet1!$A$2:$F$596,6,FALSE)</f>
        <v>0</v>
      </c>
    </row>
    <row r="42" spans="1:10" x14ac:dyDescent="0.35">
      <c r="A42">
        <v>152404</v>
      </c>
      <c r="B42" t="s">
        <v>40</v>
      </c>
      <c r="C42" t="s">
        <v>11</v>
      </c>
      <c r="D42" t="s">
        <v>11</v>
      </c>
      <c r="E42" t="s">
        <v>25</v>
      </c>
      <c r="F42" t="s">
        <v>11</v>
      </c>
      <c r="G42" t="s">
        <v>25</v>
      </c>
      <c r="H42" t="s">
        <v>65</v>
      </c>
      <c r="I42" s="2">
        <f>VLOOKUP(A42,[1]Sheet1!$A$2:$E$596,5,FALSE)</f>
        <v>0</v>
      </c>
      <c r="J42">
        <f>VLOOKUP(A42,[1]Sheet1!$A$2:$F$596,6,FALSE)</f>
        <v>0</v>
      </c>
    </row>
    <row r="43" spans="1:10" x14ac:dyDescent="0.35">
      <c r="A43">
        <v>152385</v>
      </c>
      <c r="B43" t="s">
        <v>41</v>
      </c>
      <c r="C43" t="s">
        <v>11</v>
      </c>
      <c r="D43" t="s">
        <v>11</v>
      </c>
      <c r="E43" t="s">
        <v>25</v>
      </c>
      <c r="F43" t="s">
        <v>11</v>
      </c>
      <c r="G43" t="s">
        <v>25</v>
      </c>
      <c r="H43" t="s">
        <v>65</v>
      </c>
      <c r="I43" s="2">
        <f>VLOOKUP(A43,[1]Sheet1!$A$2:$E$596,5,FALSE)</f>
        <v>0</v>
      </c>
      <c r="J43">
        <f>VLOOKUP(A43,[1]Sheet1!$A$2:$F$596,6,FALSE)</f>
        <v>0</v>
      </c>
    </row>
    <row r="44" spans="1:10" x14ac:dyDescent="0.35">
      <c r="A44">
        <v>152436</v>
      </c>
      <c r="B44" t="s">
        <v>38</v>
      </c>
      <c r="C44" t="s">
        <v>11</v>
      </c>
      <c r="D44" t="s">
        <v>11</v>
      </c>
      <c r="E44" t="s">
        <v>25</v>
      </c>
      <c r="F44" t="s">
        <v>11</v>
      </c>
      <c r="G44" t="s">
        <v>11</v>
      </c>
      <c r="H44" t="s">
        <v>65</v>
      </c>
      <c r="I44" s="2">
        <f>VLOOKUP(A44,[1]Sheet1!$A$2:$E$596,5,FALSE)</f>
        <v>0</v>
      </c>
      <c r="J44">
        <f>VLOOKUP(A44,[1]Sheet1!$A$2:$F$596,6,FALSE)</f>
        <v>0</v>
      </c>
    </row>
    <row r="45" spans="1:10" x14ac:dyDescent="0.35">
      <c r="A45" s="3">
        <v>152369</v>
      </c>
      <c r="B45" s="3" t="s">
        <v>18</v>
      </c>
      <c r="C45" s="3" t="s">
        <v>11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66</v>
      </c>
      <c r="I45" s="4">
        <f>VLOOKUP(A45,[1]Sheet1!$A$2:$E$596,5,FALSE)</f>
        <v>0</v>
      </c>
      <c r="J45" s="3">
        <f>VLOOKUP(A45,[1]Sheet1!$A$2:$F$596,6,FALSE)</f>
        <v>0</v>
      </c>
    </row>
    <row r="46" spans="1:10" x14ac:dyDescent="0.35">
      <c r="A46" s="3">
        <v>152302</v>
      </c>
      <c r="B46" s="3" t="s">
        <v>19</v>
      </c>
      <c r="C46" s="3" t="s">
        <v>9</v>
      </c>
      <c r="D46" s="3" t="s">
        <v>11</v>
      </c>
      <c r="E46" s="3" t="s">
        <v>11</v>
      </c>
      <c r="F46" s="3" t="s">
        <v>11</v>
      </c>
      <c r="G46" s="3" t="s">
        <v>11</v>
      </c>
      <c r="H46" s="3" t="s">
        <v>66</v>
      </c>
      <c r="I46" s="4">
        <f>VLOOKUP(A46,[1]Sheet1!$A$2:$E$596,5,FALSE)</f>
        <v>0</v>
      </c>
      <c r="J46" s="3">
        <f>VLOOKUP(A46,[1]Sheet1!$A$2:$F$596,6,FALSE)</f>
        <v>0</v>
      </c>
    </row>
    <row r="47" spans="1:10" x14ac:dyDescent="0.35">
      <c r="A47" s="3">
        <v>150266</v>
      </c>
      <c r="B47" s="3" t="s">
        <v>16</v>
      </c>
      <c r="C47" s="3" t="s">
        <v>11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66</v>
      </c>
      <c r="I47" s="4">
        <f>VLOOKUP(A47,[1]Sheet1!$A$2:$E$596,5,FALSE)</f>
        <v>0</v>
      </c>
      <c r="J47" s="3">
        <f>VLOOKUP(A47,[1]Sheet1!$A$2:$F$596,6,FALSE)</f>
        <v>0</v>
      </c>
    </row>
    <row r="48" spans="1:10" x14ac:dyDescent="0.35">
      <c r="A48" s="3">
        <v>152288</v>
      </c>
      <c r="B48" s="3" t="s">
        <v>10</v>
      </c>
      <c r="C48" s="3" t="s">
        <v>9</v>
      </c>
      <c r="D48" s="3" t="s">
        <v>11</v>
      </c>
      <c r="E48" s="3" t="s">
        <v>11</v>
      </c>
      <c r="F48" s="3" t="s">
        <v>11</v>
      </c>
      <c r="G48" s="3" t="s">
        <v>11</v>
      </c>
      <c r="H48" s="3" t="s">
        <v>66</v>
      </c>
      <c r="I48" s="4">
        <f>VLOOKUP(A48,[1]Sheet1!$A$2:$E$596,5,FALSE)</f>
        <v>0</v>
      </c>
      <c r="J48" s="3">
        <f>VLOOKUP(A48,[1]Sheet1!$A$2:$F$596,6,FALSE)</f>
        <v>0</v>
      </c>
    </row>
    <row r="49" spans="1:10" x14ac:dyDescent="0.35">
      <c r="A49" s="3">
        <v>152224</v>
      </c>
      <c r="B49" s="3" t="s">
        <v>20</v>
      </c>
      <c r="C49" s="3" t="s">
        <v>9</v>
      </c>
      <c r="D49" s="3" t="s">
        <v>11</v>
      </c>
      <c r="E49" s="3" t="s">
        <v>11</v>
      </c>
      <c r="F49" s="3" t="s">
        <v>11</v>
      </c>
      <c r="G49" s="3" t="s">
        <v>11</v>
      </c>
      <c r="H49" s="3" t="s">
        <v>66</v>
      </c>
      <c r="I49" s="4">
        <f>VLOOKUP(A49,[1]Sheet1!$A$2:$E$596,5,FALSE)</f>
        <v>0</v>
      </c>
      <c r="J49" s="3">
        <f>VLOOKUP(A49,[1]Sheet1!$A$2:$F$596,6,FALSE)</f>
        <v>0</v>
      </c>
    </row>
    <row r="50" spans="1:10" x14ac:dyDescent="0.35">
      <c r="A50" s="3">
        <v>150810</v>
      </c>
      <c r="B50" s="3" t="s">
        <v>13</v>
      </c>
      <c r="C50" s="3" t="s">
        <v>9</v>
      </c>
      <c r="D50" s="3" t="s">
        <v>11</v>
      </c>
      <c r="E50" s="3" t="s">
        <v>11</v>
      </c>
      <c r="F50" s="3" t="s">
        <v>11</v>
      </c>
      <c r="G50" s="3" t="s">
        <v>11</v>
      </c>
      <c r="H50" s="3" t="s">
        <v>66</v>
      </c>
      <c r="I50" s="4">
        <f>VLOOKUP(A50,[1]Sheet1!$A$2:$E$596,5,FALSE)</f>
        <v>0</v>
      </c>
      <c r="J50" s="3">
        <f>VLOOKUP(A50,[1]Sheet1!$A$2:$F$596,6,FALSE)</f>
        <v>0</v>
      </c>
    </row>
    <row r="51" spans="1:10" x14ac:dyDescent="0.35">
      <c r="A51" s="3">
        <v>152377</v>
      </c>
      <c r="B51" s="3" t="s">
        <v>14</v>
      </c>
      <c r="C51" s="3" t="s">
        <v>9</v>
      </c>
      <c r="D51" s="3" t="s">
        <v>9</v>
      </c>
      <c r="E51" s="3" t="s">
        <v>9</v>
      </c>
      <c r="F51" s="3" t="s">
        <v>9</v>
      </c>
      <c r="G51" s="3" t="s">
        <v>9</v>
      </c>
      <c r="H51" s="3" t="s">
        <v>67</v>
      </c>
      <c r="I51" s="4">
        <f>VLOOKUP(A51,[1]Sheet1!$A$2:$E$596,5,FALSE)</f>
        <v>0</v>
      </c>
      <c r="J51" s="3">
        <f>VLOOKUP(A51,[1]Sheet1!$A$2:$F$596,6,FALSE)</f>
        <v>0</v>
      </c>
    </row>
    <row r="52" spans="1:10" x14ac:dyDescent="0.35">
      <c r="A52" s="3">
        <v>152236</v>
      </c>
      <c r="B52" s="3" t="s">
        <v>12</v>
      </c>
      <c r="C52" s="3" t="s">
        <v>9</v>
      </c>
      <c r="D52" s="3" t="s">
        <v>9</v>
      </c>
      <c r="E52" s="3" t="s">
        <v>9</v>
      </c>
      <c r="F52" s="3" t="s">
        <v>9</v>
      </c>
      <c r="G52" s="3" t="s">
        <v>9</v>
      </c>
      <c r="H52" s="3" t="s">
        <v>67</v>
      </c>
      <c r="I52" s="4">
        <f>VLOOKUP(A52,[1]Sheet1!$A$2:$E$596,5,FALSE)</f>
        <v>0</v>
      </c>
      <c r="J52" s="3">
        <f>VLOOKUP(A52,[1]Sheet1!$A$2:$F$596,6,FALSE)</f>
        <v>0</v>
      </c>
    </row>
    <row r="53" spans="1:10" x14ac:dyDescent="0.35">
      <c r="A53" s="3">
        <v>152334</v>
      </c>
      <c r="B53" s="3" t="s">
        <v>8</v>
      </c>
      <c r="C53" s="3" t="s">
        <v>9</v>
      </c>
      <c r="D53" s="3" t="s">
        <v>9</v>
      </c>
      <c r="E53" s="3" t="s">
        <v>9</v>
      </c>
      <c r="F53" s="3" t="s">
        <v>9</v>
      </c>
      <c r="G53" s="3" t="s">
        <v>9</v>
      </c>
      <c r="H53" s="3" t="s">
        <v>67</v>
      </c>
      <c r="I53" s="4">
        <f>VLOOKUP(A53,[1]Sheet1!$A$2:$E$596,5,FALSE)</f>
        <v>0</v>
      </c>
      <c r="J53" s="3">
        <f>VLOOKUP(A53,[1]Sheet1!$A$2:$F$596,6,FALSE)</f>
        <v>0</v>
      </c>
    </row>
    <row r="54" spans="1:10" x14ac:dyDescent="0.35">
      <c r="A54" s="3">
        <v>152363</v>
      </c>
      <c r="B54" s="3" t="s">
        <v>17</v>
      </c>
      <c r="C54" s="3" t="s">
        <v>9</v>
      </c>
      <c r="D54" s="3" t="s">
        <v>9</v>
      </c>
      <c r="E54" s="3" t="s">
        <v>9</v>
      </c>
      <c r="F54" s="3" t="s">
        <v>9</v>
      </c>
      <c r="G54" s="3" t="s">
        <v>9</v>
      </c>
      <c r="H54" s="3" t="s">
        <v>67</v>
      </c>
      <c r="I54" s="4">
        <f>VLOOKUP(A54,[1]Sheet1!$A$2:$E$596,5,FALSE)</f>
        <v>0</v>
      </c>
      <c r="J54" s="3">
        <f>VLOOKUP(A54,[1]Sheet1!$A$2:$F$596,6,FALSE)</f>
        <v>0</v>
      </c>
    </row>
    <row r="55" spans="1:10" x14ac:dyDescent="0.35">
      <c r="A55" s="3">
        <v>150196</v>
      </c>
      <c r="B55" s="3" t="s">
        <v>15</v>
      </c>
      <c r="C55" s="3" t="s">
        <v>9</v>
      </c>
      <c r="D55" s="3" t="s">
        <v>9</v>
      </c>
      <c r="E55" s="3" t="s">
        <v>9</v>
      </c>
      <c r="F55" s="3" t="s">
        <v>9</v>
      </c>
      <c r="G55" s="3" t="s">
        <v>9</v>
      </c>
      <c r="H55" s="3" t="s">
        <v>67</v>
      </c>
      <c r="I55" s="4">
        <f>VLOOKUP(A55,[1]Sheet1!$A$2:$E$596,5,FALSE)</f>
        <v>0</v>
      </c>
      <c r="J55" s="3">
        <f>VLOOKUP(A55,[1]Sheet1!$A$2:$F$596,6,FALSE)</f>
        <v>0</v>
      </c>
    </row>
    <row r="57" spans="1:10" x14ac:dyDescent="0.35">
      <c r="A57" s="1"/>
      <c r="B57" s="1"/>
    </row>
  </sheetData>
  <autoFilter ref="A1:J55" xr:uid="{00000000-0001-0000-0000-000000000000}">
    <sortState xmlns:xlrd2="http://schemas.microsoft.com/office/spreadsheetml/2017/richdata2" ref="A2:J55">
      <sortCondition ref="H1:H55"/>
    </sortState>
  </autoFilter>
  <conditionalFormatting sqref="A1:B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Camargo Riera, Florencia Macarena</cp:lastModifiedBy>
  <dcterms:created xsi:type="dcterms:W3CDTF">2022-07-14T12:56:12Z</dcterms:created>
  <dcterms:modified xsi:type="dcterms:W3CDTF">2025-05-15T18:56:33Z</dcterms:modified>
</cp:coreProperties>
</file>